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ilestones" sheetId="2" state="visible" r:id="rId4"/>
    <sheet name="Backlog" sheetId="3" state="visible" r:id="rId5"/>
    <sheet name="Content Budget" sheetId="4" state="visible" r:id="rId6"/>
    <sheet name="Risk Burn-down" sheetId="5" state="visible" r:id="rId7"/>
    <sheet name="Decision Gates" sheetId="6" state="visible" r:id="rId8"/>
    <sheet name="Parking Lot" sheetId="7" state="visible" r:id="rId9"/>
    <sheet name="Fun-Gate Log" sheetId="8" state="visible" r:id="rId10"/>
  </sheets>
  <definedNames>
    <definedName function="false" hidden="true" localSheetId="2" name="_xlnm._FilterDatabase" vbProcedure="false">Backlog!$A$4:$L$156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plan</author>
  </authors>
  <commentList>
    <comment ref="H6" authorId="0">
      <text>
        <r>
          <rPr>
            <sz val="10"/>
            <rFont val="Arial"/>
            <family val="2"/>
          </rPr>
          <t xml:space="preserve">Numeric caps (upper bounds) the table looks up. Edit here to change budgets.</t>
        </r>
      </text>
    </comment>
  </commentList>
</comments>
</file>

<file path=xl/sharedStrings.xml><?xml version="1.0" encoding="utf-8"?>
<sst xmlns="http://schemas.openxmlformats.org/spreadsheetml/2006/main" count="2013" uniqueCount="586">
  <si>
    <t xml:space="preserve">Zurvival Reborn — Scope-Control Tracker</t>
  </si>
  <si>
    <t xml:space="preserve">The living operational layer of PRODUCTION.md. Solo + AI · effort-based · the "no machine".</t>
  </si>
  <si>
    <t xml:space="preserve">HOW TO USE THIS BOOK</t>
  </si>
  <si>
    <t xml:space="preserve">Milestones</t>
  </si>
  <si>
    <t xml:space="preserve">M0–M5 ladder + post-launch. % complete auto-computes from the Backlog. Theme, gate, and risk-retired per milestone.</t>
  </si>
  <si>
    <t xml:space="preserve">Backlog</t>
  </si>
  <si>
    <t xml:space="preserve">Every PRD requirement as a work item, mapped to milestone, MoSCoW, the principle it serves, effort, and AI-assist. This is the work.</t>
  </si>
  <si>
    <t xml:space="preserve">Content Budget</t>
  </si>
  <si>
    <t xml:space="preserve">Caps per milestone that protect REVIEW CAPACITY. Set "Current milestone"; a red Headroom cell = stop authoring, go playtest.</t>
  </si>
  <si>
    <t xml:space="preserve">Risk Burn-down</t>
  </si>
  <si>
    <t xml:space="preserve">Each PRD risk mapped to the milestone that retires it. Update status as you go.</t>
  </si>
  <si>
    <t xml:space="preserve">Decision Gates</t>
  </si>
  <si>
    <t xml:space="preserve">Open ADRs, each tied to the milestone it must be resolved by. ADR-0001 is the one to force at M0.</t>
  </si>
  <si>
    <t xml:space="preserve">Parking Lot</t>
  </si>
  <si>
    <t xml:space="preserve">New ideas land here — never in a live milestone. Triage only at boundaries. Pre-seeded with the frozen Won’t-now register.</t>
  </si>
  <si>
    <t xml:space="preserve">Fun-Gate Log</t>
  </si>
  <si>
    <t xml:space="preserve">Every gate verdict: build, date, the retellable moment, go/no-go. The gate is the point.</t>
  </si>
  <si>
    <t xml:space="preserve">THE CUT FILTER — the "no machine"</t>
  </si>
  <si>
    <t xml:space="preserve">The rule</t>
  </si>
  <si>
    <t xml:space="preserve">A feature must serve ≥ 1 of the six principles. If it serves none, it WAITS or DIES. If it serves one but costs more review capacity than the milestone budget allows, it DEFERS.</t>
  </si>
  <si>
    <t xml:space="preserve">P1</t>
  </si>
  <si>
    <t xml:space="preserve">A systemic core loop</t>
  </si>
  <si>
    <t xml:space="preserve">P2</t>
  </si>
  <si>
    <t xml:space="preserve">Injuries are stories</t>
  </si>
  <si>
    <t xml:space="preserve">P3</t>
  </si>
  <si>
    <t xml:space="preserve">Nodes with memory</t>
  </si>
  <si>
    <t xml:space="preserve">P4</t>
  </si>
  <si>
    <t xml:space="preserve">The Survival Triangle (Safety · Resources · Time)</t>
  </si>
  <si>
    <t xml:space="preserve">P5</t>
  </si>
  <si>
    <t xml:space="preserve">Handcrafted social simulation</t>
  </si>
  <si>
    <t xml:space="preserve">P6</t>
  </si>
  <si>
    <t xml:space="preserve">Artifacts over XP</t>
  </si>
  <si>
    <t xml:space="preserve">LEGEND</t>
  </si>
  <si>
    <t xml:space="preserve">MoSCoW</t>
  </si>
  <si>
    <t xml:space="preserve">Must = milestone not done without it (never cut to hit a date) · Should = cut first · Could = only if ahead · Won’t = frozen</t>
  </si>
  <si>
    <t xml:space="preserve">Cut order under pressure</t>
  </si>
  <si>
    <t xml:space="preserve">Coulds → Shoulds → re-scope the milestone. NEVER cut a Must or skip a fun gate.</t>
  </si>
  <si>
    <t xml:space="preserve">Status colours</t>
  </si>
  <si>
    <t xml:space="preserve">Done = green · In progress = amber · Blocked = red · Not started = grey · Cut = struck through</t>
  </si>
  <si>
    <t xml:space="preserve">Effort bands</t>
  </si>
  <si>
    <t xml:space="preserve">XS &lt;½ wk · S ~1 wk · M ~2–3 wk · L ~4–6 wk · XL ~8+ wk (solo + AI; re-calibrate after M1). &gt;25% over band = scope-review tripwire.</t>
  </si>
  <si>
    <t xml:space="preserve">Milestone Ladder</t>
  </si>
  <si>
    <t xml:space="preserve">Numbering follows the PRD (M1–M5) + explicit M0 Foundation. % auto-computes from Backlog status.</t>
  </si>
  <si>
    <t xml:space="preserve">ID</t>
  </si>
  <si>
    <t xml:space="preserve">Milestone</t>
  </si>
  <si>
    <t xml:space="preserve">Theme</t>
  </si>
  <si>
    <t xml:space="preserve">Horizon</t>
  </si>
  <si>
    <t xml:space="preserve">Effort</t>
  </si>
  <si>
    <t xml:space="preserve">% done</t>
  </si>
  <si>
    <t xml:space="preserve">Fun gate</t>
  </si>
  <si>
    <t xml:space="preserve">Risk retired</t>
  </si>
  <si>
    <t xml:space="preserve">Definition of done (short)</t>
  </si>
  <si>
    <t xml:space="preserve">M0</t>
  </si>
  <si>
    <t xml:space="preserve">Foundation</t>
  </si>
  <si>
    <t xml:space="preserve">The skeleton runs</t>
  </si>
  <si>
    <t xml:space="preserve">pre-VS</t>
  </si>
  <si>
    <t xml:space="preserve">M</t>
  </si>
  <si>
    <t xml:space="preserve">—</t>
  </si>
  <si>
    <t xml:space="preserve">Undecided stack / paralysis</t>
  </si>
  <si>
    <t xml:space="preserve">Deterministic core runs the full pipeline; save round-trips; CI rejects malformed content.</t>
  </si>
  <si>
    <t xml:space="preserve">M1</t>
  </si>
  <si>
    <t xml:space="preserve">Core loop playable</t>
  </si>
  <si>
    <t xml:space="preserve">The loop is satisfying</t>
  </si>
  <si>
    <t xml:space="preserve">Vertical Slice</t>
  </si>
  <si>
    <t xml:space="preserve">L</t>
  </si>
  <si>
    <t xml:space="preserve">Loop-Feel Check</t>
  </si>
  <si>
    <t xml:space="preserve">(loop-feel read)</t>
  </si>
  <si>
    <t xml:space="preserve">A slice of turns runs end-to-end; every turn changes ≥1 system; stealth path exists; lossless resume.</t>
  </si>
  <si>
    <t xml:space="preserve">M2</t>
  </si>
  <si>
    <t xml:space="preserve">Reactive world</t>
  </si>
  <si>
    <t xml:space="preserve">The world moves on its own</t>
  </si>
  <si>
    <t xml:space="preserve">Impressive but static</t>
  </si>
  <si>
    <t xml:space="preserve">Region threat shifts off-screen; gunshot re-paths a horde; director biases without breaking logic.</t>
  </si>
  <si>
    <t xml:space="preserve">M3</t>
  </si>
  <si>
    <t xml:space="preserve">People, shelter &amp; first story</t>
  </si>
  <si>
    <t xml:space="preserve">A run becomes a story</t>
  </si>
  <si>
    <t xml:space="preserve">Vertical Slice — complete</t>
  </si>
  <si>
    <t xml:space="preserve">XL</t>
  </si>
  <si>
    <t xml:space="preserve">SLICE FUN GATE (decisive)</t>
  </si>
  <si>
    <t xml:space="preserve">Systemic but not fun</t>
  </si>
  <si>
    <t xml:space="preserve">A full slice run yields an emergent, retellable story; companion fate lands; shelter loss is survivable.</t>
  </si>
  <si>
    <t xml:space="preserve">M4</t>
  </si>
  <si>
    <t xml:space="preserve">Content-complete city</t>
  </si>
  <si>
    <t xml:space="preserve">Breadth without repetition</t>
  </si>
  <si>
    <t xml:space="preserve">MVP / public beta</t>
  </si>
  <si>
    <t xml:space="preserve">Content volume</t>
  </si>
  <si>
    <t xml:space="preserve">One city content-complete &amp; schema-valid; repeat-rate under target; infection-as-identity comprehensible.</t>
  </si>
  <si>
    <t xml:space="preserve">M5</t>
  </si>
  <si>
    <t xml:space="preserve">Release candidate</t>
  </si>
  <si>
    <t xml:space="preserve">Balanced, accessible, hardened</t>
  </si>
  <si>
    <t xml:space="preserve">v1.0 launch</t>
  </si>
  <si>
    <t xml:space="preserve">"one more day" w/ externals</t>
  </si>
  <si>
    <t xml:space="preserve">Balance fragility · save churn</t>
  </si>
  <si>
    <t xml:space="preserve">Every Must met; balance targets hit; save survives migration; accessibility verified with assistive tech.</t>
  </si>
  <si>
    <t xml:space="preserve">P+</t>
  </si>
  <si>
    <t xml:space="preserve">Post-launch</t>
  </si>
  <si>
    <t xml:space="preserve">Content cadence + new clients</t>
  </si>
  <si>
    <t xml:space="preserve">live</t>
  </si>
  <si>
    <t xml:space="preserve">ongoing</t>
  </si>
  <si>
    <t xml:space="preserve">Long-tail relevance</t>
  </si>
  <si>
    <t xml:space="preserve">Expansion-hook content needing no engine rewrite; then native &amp; chat-bot clients (ADR-0004).</t>
  </si>
  <si>
    <t xml:space="preserve">Gate rule: if the Slice Fun Gate (M3) fails, scope re-invests in the loop/characters — content stays frozen. Never "add content" to fix fun.</t>
  </si>
  <si>
    <t xml:space="preserve">Every PRD requirement as a work item. Traces to the PRD by ID. Filter by Milestone / MoSCoW / Status.</t>
  </si>
  <si>
    <t xml:space="preserve">Area</t>
  </si>
  <si>
    <t xml:space="preserve">Requirement</t>
  </si>
  <si>
    <t xml:space="preserve">Type</t>
  </si>
  <si>
    <t xml:space="preserve">Serves</t>
  </si>
  <si>
    <t xml:space="preserve">AI-assist</t>
  </si>
  <si>
    <t xml:space="preserve">Status</t>
  </si>
  <si>
    <t xml:space="preserve">DoD met</t>
  </si>
  <si>
    <t xml:space="preserve">Notes</t>
  </si>
  <si>
    <t xml:space="preserve">PROD-01</t>
  </si>
  <si>
    <t xml:space="preserve">ADR-0001: choose engine language &amp; runtime (time-boxed)</t>
  </si>
  <si>
    <t xml:space="preserve">Must</t>
  </si>
  <si>
    <t xml:space="preserve">Decision</t>
  </si>
  <si>
    <t xml:space="preserve">S</t>
  </si>
  <si>
    <t xml:space="preserve">No</t>
  </si>
  <si>
    <t xml:space="preserve">Not started</t>
  </si>
  <si>
    <t xml:space="preserve">PROD-02</t>
  </si>
  <si>
    <t xml:space="preserve">GameState shape + turn-pipeline shell (14 stages)</t>
  </si>
  <si>
    <t xml:space="preserve">Engine</t>
  </si>
  <si>
    <t xml:space="preserve">Yes</t>
  </si>
  <si>
    <t xml:space="preserve">PROD-03</t>
  </si>
  <si>
    <t xml:space="preserve">Seeded RNG with named streams, serialized with state</t>
  </si>
  <si>
    <t xml:space="preserve">PROD-04</t>
  </si>
  <si>
    <t xml:space="preserve">Content loader + first schemas</t>
  </si>
  <si>
    <t xml:space="preserve">PROD-05</t>
  </si>
  <si>
    <t xml:space="preserve">CI: malformed content fails the build</t>
  </si>
  <si>
    <t xml:space="preserve">Infra</t>
  </si>
  <si>
    <t xml:space="preserve">PROD-06</t>
  </si>
  <si>
    <t xml:space="preserve">Determinism / golden-run test harness</t>
  </si>
  <si>
    <t xml:space="preserve">QA</t>
  </si>
  <si>
    <t xml:space="preserve">PROD-07</t>
  </si>
  <si>
    <t xml:space="preserve">Terminal harness runs an empty turn</t>
  </si>
  <si>
    <t xml:space="preserve">Client</t>
  </si>
  <si>
    <t xml:space="preserve">FR-CNT-01</t>
  </si>
  <si>
    <t xml:space="preserve">Content pipeline</t>
  </si>
  <si>
    <t xml:space="preserve">Content authored as external data, loaded at runtime</t>
  </si>
  <si>
    <t xml:space="preserve">FR-CNT-02</t>
  </si>
  <si>
    <t xml:space="preserve">Content validated vs schemas in CI</t>
  </si>
  <si>
    <t xml:space="preserve">NFR-PLAT-02</t>
  </si>
  <si>
    <t xml:space="preserve">Platform</t>
  </si>
  <si>
    <t xml:space="preserve">Headless / renderer-agnostic engine</t>
  </si>
  <si>
    <t xml:space="preserve">FR-CORE-01</t>
  </si>
  <si>
    <t xml:space="preserve">Core loop</t>
  </si>
  <si>
    <t xml:space="preserve">Turn loop, no direct choice→scene edge</t>
  </si>
  <si>
    <t xml:space="preserve">FR-CORE-02</t>
  </si>
  <si>
    <t xml:space="preserve">Fixed pipeline order executed every turn</t>
  </si>
  <si>
    <t xml:space="preserve">FR-CORE-03</t>
  </si>
  <si>
    <t xml:space="preserve">Every action has a time cost</t>
  </si>
  <si>
    <t xml:space="preserve">FR-CORE-04</t>
  </si>
  <si>
    <t xml:space="preserve">Every resolved action changes ≥1 system</t>
  </si>
  <si>
    <t xml:space="preserve">FR-CORE-05</t>
  </si>
  <si>
    <t xml:space="preserve">Scenes answer the Four Questions</t>
  </si>
  <si>
    <t xml:space="preserve">Design</t>
  </si>
  <si>
    <t xml:space="preserve">FR-CORE-07</t>
  </si>
  <si>
    <t xml:space="preserve">Safe-to-stop autosave at turn boundary</t>
  </si>
  <si>
    <t xml:space="preserve">FR-SIM-02</t>
  </si>
  <si>
    <t xml:space="preserve">World sim</t>
  </si>
  <si>
    <t xml:space="preserve">Local-area node memory persists all run</t>
  </si>
  <si>
    <t xml:space="preserve">FR-SIM-04</t>
  </si>
  <si>
    <t xml:space="preserve">Time-of-day phases modify odds/visibility</t>
  </si>
  <si>
    <t xml:space="preserve">FR-SIM-06</t>
  </si>
  <si>
    <t xml:space="preserve">Noise model: emit / attract / decay</t>
  </si>
  <si>
    <t xml:space="preserve">FR-MAP-01</t>
  </si>
  <si>
    <t xml:space="preserve">Exploration</t>
  </si>
  <si>
    <t xml:space="preserve">Node graph grouped into regions</t>
  </si>
  <si>
    <t xml:space="preserve">FR-MAP-02</t>
  </si>
  <si>
    <t xml:space="preserve">Fog of war: only known nodes revealed</t>
  </si>
  <si>
    <t xml:space="preserve">FR-MAP-03</t>
  </si>
  <si>
    <t xml:space="preserve">Travel costs time/stamina/noise</t>
  </si>
  <si>
    <t xml:space="preserve">FR-PLR-01</t>
  </si>
  <si>
    <t xml:space="preserve">Player</t>
  </si>
  <si>
    <t xml:space="preserve">Persistent player state</t>
  </si>
  <si>
    <t xml:space="preserve">FR-PLR-02</t>
  </si>
  <si>
    <t xml:space="preserve">Only a critical few visible stats</t>
  </si>
  <si>
    <t xml:space="preserve">UI</t>
  </si>
  <si>
    <t xml:space="preserve">FR-PLR-03</t>
  </si>
  <si>
    <t xml:space="preserve">Weight/slot-limited inventory</t>
  </si>
  <si>
    <t xml:space="preserve">FR-PLR-04</t>
  </si>
  <si>
    <t xml:space="preserve">Equipment defines capability (not levels)</t>
  </si>
  <si>
    <t xml:space="preserve">FR-PLR-10</t>
  </si>
  <si>
    <t xml:space="preserve">No XP bar or character level anywhere</t>
  </si>
  <si>
    <t xml:space="preserve">XS</t>
  </si>
  <si>
    <t xml:space="preserve">FR-INJ-01</t>
  </si>
  <si>
    <t xml:space="preserve">Injuries</t>
  </si>
  <si>
    <t xml:space="preserve">Damage produces named wounds</t>
  </si>
  <si>
    <t xml:space="preserve">FR-INJ-04</t>
  </si>
  <si>
    <t xml:space="preserve">Health is treated, not auto-regenerated</t>
  </si>
  <si>
    <t xml:space="preserve">FR-ENC-01</t>
  </si>
  <si>
    <t xml:space="preserve">Encounters</t>
  </si>
  <si>
    <t xml:space="preserve">Tagged pool filtered by requirements engine</t>
  </si>
  <si>
    <t xml:space="preserve">FR-ENC-02</t>
  </si>
  <si>
    <t xml:space="preserve">Weighting + cooldowns favour fresh content</t>
  </si>
  <si>
    <t xml:space="preserve">FR-CBT-01</t>
  </si>
  <si>
    <t xml:space="preserve">Combat</t>
  </si>
  <si>
    <t xml:space="preserve">Combat avoidable; always spends resources</t>
  </si>
  <si>
    <t xml:space="preserve">FR-CBT-02</t>
  </si>
  <si>
    <t xml:space="preserve">Turn-based exchange vs systems, not twitch</t>
  </si>
  <si>
    <t xml:space="preserve">FR-CBT-04</t>
  </si>
  <si>
    <t xml:space="preserve">Weapon categories; firearms are loud</t>
  </si>
  <si>
    <t xml:space="preserve">FR-CBT-05</t>
  </si>
  <si>
    <t xml:space="preserve">Stealth via sound/light/LoS detection</t>
  </si>
  <si>
    <t xml:space="preserve">FR-ECO-01</t>
  </si>
  <si>
    <t xml:space="preserve">Economy</t>
  </si>
  <si>
    <t xml:space="preserve">Finite, contested loot; taking depletes world</t>
  </si>
  <si>
    <t xml:space="preserve">FR-ECO-02</t>
  </si>
  <si>
    <t xml:space="preserve">Plausibility-based loot distribution</t>
  </si>
  <si>
    <t xml:space="preserve">Content</t>
  </si>
  <si>
    <t xml:space="preserve">FR-ECO-03</t>
  </si>
  <si>
    <t xml:space="preserve">Search costs time/noise; persists search %</t>
  </si>
  <si>
    <t xml:space="preserve">FR-CNT-03</t>
  </si>
  <si>
    <t xml:space="preserve">Requirements + effects declared in data</t>
  </si>
  <si>
    <t xml:space="preserve">FR-UI-01</t>
  </si>
  <si>
    <t xml:space="preserve">Story-first single-decision primary screen</t>
  </si>
  <si>
    <t xml:space="preserve">FR-UI-02</t>
  </si>
  <si>
    <t xml:space="preserve">Critical stats only; infection as symptoms</t>
  </si>
  <si>
    <t xml:space="preserve">FR-UI-03</t>
  </si>
  <si>
    <t xml:space="preserve">Choices show known costs; no fake choice</t>
  </si>
  <si>
    <t xml:space="preserve">FR-UI-05</t>
  </si>
  <si>
    <t xml:space="preserve">Mobile-first one-hand layout</t>
  </si>
  <si>
    <t xml:space="preserve">NFR-ACC-01</t>
  </si>
  <si>
    <t xml:space="preserve">Accessibility</t>
  </si>
  <si>
    <t xml:space="preserve">Critical info without colour/audio alone</t>
  </si>
  <si>
    <t xml:space="preserve">NFR-ACC-02</t>
  </si>
  <si>
    <t xml:space="preserve">Full screen-reader support</t>
  </si>
  <si>
    <t xml:space="preserve">NFR-ACC-03</t>
  </si>
  <si>
    <t xml:space="preserve">Scalable text + high-contrast themes</t>
  </si>
  <si>
    <t xml:space="preserve">NFR-PERF-01</t>
  </si>
  <si>
    <t xml:space="preserve">Performance</t>
  </si>
  <si>
    <t xml:space="preserve">Turn resolves+renders &lt; 100 ms on mid phone</t>
  </si>
  <si>
    <t xml:space="preserve">NFR-PLAT-01</t>
  </si>
  <si>
    <t xml:space="preserve">Runs in evergreen mobile+desktop browsers</t>
  </si>
  <si>
    <t xml:space="preserve">NFR-PLAT-03</t>
  </si>
  <si>
    <t xml:space="preserve">Playable offline for a session</t>
  </si>
  <si>
    <t xml:space="preserve">Should</t>
  </si>
  <si>
    <t xml:space="preserve">NFR-SAVE-01</t>
  </si>
  <si>
    <t xml:space="preserve">Saves</t>
  </si>
  <si>
    <t xml:space="preserve">Save = serialized state; lossless resume</t>
  </si>
  <si>
    <t xml:space="preserve">NFR-SAVE-02</t>
  </si>
  <si>
    <t xml:space="preserve">Versioned saves + migration from first format</t>
  </si>
  <si>
    <t xml:space="preserve">NFR-MAINT-01</t>
  </si>
  <si>
    <t xml:space="preserve">Maintainability</t>
  </si>
  <si>
    <t xml:space="preserve">Content authorable without engine changes</t>
  </si>
  <si>
    <t xml:space="preserve">FR-SIM-01</t>
  </si>
  <si>
    <t xml:space="preserve">Six state layers independently updatable</t>
  </si>
  <si>
    <t xml:space="preserve">FR-SIM-03</t>
  </si>
  <si>
    <t xml:space="preserve">Regional threat/density/loot evolve off-screen</t>
  </si>
  <si>
    <t xml:space="preserve">FR-SIM-05</t>
  </si>
  <si>
    <t xml:space="preserve">Weather with multi-system effects</t>
  </si>
  <si>
    <t xml:space="preserve">FR-SIM-07</t>
  </si>
  <si>
    <t xml:space="preserve">Zombie population + migrating hordes</t>
  </si>
  <si>
    <t xml:space="preserve">FR-SIM-08</t>
  </si>
  <si>
    <t xml:space="preserve">Global infrastructure decay</t>
  </si>
  <si>
    <t xml:space="preserve">FR-SIM-09</t>
  </si>
  <si>
    <t xml:space="preserve">Other survivor groups simulated off-screen</t>
  </si>
  <si>
    <t xml:space="preserve">FR-SIM-10</t>
  </si>
  <si>
    <t xml:space="preserve">Apocalypse Director biases pacing</t>
  </si>
  <si>
    <t xml:space="preserve">FR-SIM-11</t>
  </si>
  <si>
    <t xml:space="preserve">Living History append-only event log</t>
  </si>
  <si>
    <t xml:space="preserve">FR-MAP-04</t>
  </si>
  <si>
    <t xml:space="preserve">Route conditions change with world state</t>
  </si>
  <si>
    <t xml:space="preserve">FR-INJ-03</t>
  </si>
  <si>
    <t xml:space="preserve">Bleeding ticks; deep cut leaves scent trail</t>
  </si>
  <si>
    <t xml:space="preserve">FR-CBT-06</t>
  </si>
  <si>
    <t xml:space="preserve">Zombie state machine driven by senses</t>
  </si>
  <si>
    <t xml:space="preserve">FR-CBT-07</t>
  </si>
  <si>
    <t xml:space="preserve">Distinct zombie types (Screamer, Stalker)</t>
  </si>
  <si>
    <t xml:space="preserve">FR-CBT-08</t>
  </si>
  <si>
    <t xml:space="preserve">Hordes routed/funnelled, not out-traded</t>
  </si>
  <si>
    <t xml:space="preserve">NFR-PERF-02</t>
  </si>
  <si>
    <t xml:space="preserve">Per-tick cost bounded; heavy updates amortized</t>
  </si>
  <si>
    <t xml:space="preserve">NFR-PRIV-01</t>
  </si>
  <si>
    <t xml:space="preserve">Privacy</t>
  </si>
  <si>
    <t xml:space="preserve">Minimal data; opt-in telemetry; no PII</t>
  </si>
  <si>
    <t xml:space="preserve">PROD-08</t>
  </si>
  <si>
    <t xml:space="preserve">Instrumentation</t>
  </si>
  <si>
    <t xml:space="preserve">Telemetry instrumentation (PRD §4 proxies)</t>
  </si>
  <si>
    <t xml:space="preserve">FR-MAP-06</t>
  </si>
  <si>
    <t xml:space="preserve">Claimable safehouse node; can be lost</t>
  </si>
  <si>
    <t xml:space="preserve">FR-INJ-09</t>
  </si>
  <si>
    <t xml:space="preserve">Mind model surfaced via behaviour, not bars</t>
  </si>
  <si>
    <t xml:space="preserve">FR-CBT-09</t>
  </si>
  <si>
    <t xml:space="preserve">Fear Meter + panic degrade options at extremes</t>
  </si>
  <si>
    <t xml:space="preserve">FR-CBT-10</t>
  </si>
  <si>
    <t xml:space="preserve">Last Stand: terminal combat as final-choice scene</t>
  </si>
  <si>
    <t xml:space="preserve">FR-SHL-01</t>
  </si>
  <si>
    <t xml:space="preserve">Shelter</t>
  </si>
  <si>
    <t xml:space="preserve">One evolving home shelter</t>
  </si>
  <si>
    <t xml:space="preserve">FR-SHL-02</t>
  </si>
  <si>
    <t xml:space="preserve">Daily report of off-screen community activity</t>
  </si>
  <si>
    <t xml:space="preserve">FR-SHL-06</t>
  </si>
  <si>
    <t xml:space="preserve">Night attacks as defensive scenes with losses</t>
  </si>
  <si>
    <t xml:space="preserve">FR-SHL-10</t>
  </si>
  <si>
    <t xml:space="preserve">Shelter can be lost (overrun/burned/abandoned)</t>
  </si>
  <si>
    <t xml:space="preserve">FR-NPC-01</t>
  </si>
  <si>
    <t xml:space="preserve">Survivors</t>
  </si>
  <si>
    <t xml:space="preserve">Handcrafted survivor pool (M3 subset → grows to M4)</t>
  </si>
  <si>
    <t xml:space="preserve">FR-NPC-03</t>
  </si>
  <si>
    <t xml:space="preserve">Recruitable companions, autonomous AI</t>
  </si>
  <si>
    <t xml:space="preserve">FR-NPC-04</t>
  </si>
  <si>
    <t xml:space="preserve">Permanent companion death, remembered</t>
  </si>
  <si>
    <t xml:space="preserve">FR-NPC-09</t>
  </si>
  <si>
    <t xml:space="preserve">Storyteller surfaces relationship/history threads</t>
  </si>
  <si>
    <t xml:space="preserve">FR-STY-07</t>
  </si>
  <si>
    <t xml:space="preserve">Story</t>
  </si>
  <si>
    <t xml:space="preserve">Authored failure endings with closure</t>
  </si>
  <si>
    <t xml:space="preserve">PROD-10</t>
  </si>
  <si>
    <t xml:space="preserve">Playtest</t>
  </si>
  <si>
    <t xml:space="preserve">External playtest program (starts at Fun Gate)</t>
  </si>
  <si>
    <t xml:space="preserve">FR-CORE-06</t>
  </si>
  <si>
    <t xml:space="preserve">Inline micro-choices at low/zero cost</t>
  </si>
  <si>
    <t xml:space="preserve">FR-MAP-05</t>
  </si>
  <si>
    <t xml:space="preserve">Map-as-journal: player notes + auto-annotation</t>
  </si>
  <si>
    <t xml:space="preserve">FR-PLR-05</t>
  </si>
  <si>
    <t xml:space="preserve">Artifact metadata (provenance/history)</t>
  </si>
  <si>
    <t xml:space="preserve">FR-PLR-06</t>
  </si>
  <si>
    <t xml:space="preserve">Durability: gear wears, jams, breaks, repairs</t>
  </si>
  <si>
    <t xml:space="preserve">FR-PLR-07</t>
  </si>
  <si>
    <t xml:space="preserve">Skills improve narrowly through use</t>
  </si>
  <si>
    <t xml:space="preserve">FR-INJ-02</t>
  </si>
  <si>
    <t xml:space="preserve">Wound severity tiers</t>
  </si>
  <si>
    <t xml:space="preserve">FR-INJ-05</t>
  </si>
  <si>
    <t xml:space="preserve">Infection as staged identity (no bar)</t>
  </si>
  <si>
    <t xml:space="preserve">FR-INJ-06</t>
  </si>
  <si>
    <t xml:space="preserve">Infection alters perception/dialogue/symptoms</t>
  </si>
  <si>
    <t xml:space="preserve">FR-INJ-07</t>
  </si>
  <si>
    <t xml:space="preserve">Diagnosis / treatment / quarantine paths</t>
  </si>
  <si>
    <t xml:space="preserve">FR-INJ-08</t>
  </si>
  <si>
    <t xml:space="preserve">No instant Game Over on infection</t>
  </si>
  <si>
    <t xml:space="preserve">FR-ENC-03</t>
  </si>
  <si>
    <t xml:space="preserve">Encounter chains (flags enable follow-ups)</t>
  </si>
  <si>
    <t xml:space="preserve">FR-ENC-04</t>
  </si>
  <si>
    <t xml:space="preserve">Multi-stage encounters</t>
  </si>
  <si>
    <t xml:space="preserve">FR-ENC-05</t>
  </si>
  <si>
    <t xml:space="preserve">Full category coverage</t>
  </si>
  <si>
    <t xml:space="preserve">FR-ENC-06</t>
  </si>
  <si>
    <t xml:space="preserve">Moral encounters feeding Humanity</t>
  </si>
  <si>
    <t xml:space="preserve">FR-ENC-07</t>
  </si>
  <si>
    <t xml:space="preserve">False encounters (tension, no payoff)</t>
  </si>
  <si>
    <t xml:space="preserve">Could</t>
  </si>
  <si>
    <t xml:space="preserve">FR-ENC-08</t>
  </si>
  <si>
    <t xml:space="preserve">Encounter evolution by node state</t>
  </si>
  <si>
    <t xml:space="preserve">FR-ENC-10</t>
  </si>
  <si>
    <t xml:space="preserve">Director can inject a pacing beat</t>
  </si>
  <si>
    <t xml:space="preserve">FR-CBT-03</t>
  </si>
  <si>
    <t xml:space="preserve">Improvised/environmental actions</t>
  </si>
  <si>
    <t xml:space="preserve">FR-ECO-04</t>
  </si>
  <si>
    <t xml:space="preserve">Four resource loops with drains + sinks</t>
  </si>
  <si>
    <t xml:space="preserve">FR-ECO-05</t>
  </si>
  <si>
    <t xml:space="preserve">Food spoilage + water purification</t>
  </si>
  <si>
    <t xml:space="preserve">FR-ECO-06</t>
  </si>
  <si>
    <t xml:space="preserve">Crafting gated by blueprints/components/rooms</t>
  </si>
  <si>
    <t xml:space="preserve">FR-ECO-07</t>
  </si>
  <si>
    <t xml:space="preserve">Repairs keep artifacts alive</t>
  </si>
  <si>
    <t xml:space="preserve">FR-ECO-09</t>
  </si>
  <si>
    <t xml:space="preserve">Hidden loot rewarding curiosity + NPC hints</t>
  </si>
  <si>
    <t xml:space="preserve">FR-SHL-03</t>
  </si>
  <si>
    <t xml:space="preserve">Assignable jobs run while away</t>
  </si>
  <si>
    <t xml:space="preserve">FR-SHL-04</t>
  </si>
  <si>
    <t xml:space="preserve">Craftable rooms unlock capability</t>
  </si>
  <si>
    <t xml:space="preserve">FR-SHL-05</t>
  </si>
  <si>
    <t xml:space="preserve">Generator on scarce fuel powers rooms</t>
  </si>
  <si>
    <t xml:space="preserve">FR-SHL-07</t>
  </si>
  <si>
    <t xml:space="preserve">Hope-vs-survival: cold-optimal bleeds morale</t>
  </si>
  <si>
    <t xml:space="preserve">FR-NPC-02</t>
  </si>
  <si>
    <t xml:space="preserve">Per-character memory (trust/respect/fear)</t>
  </si>
  <si>
    <t xml:space="preserve">FR-NPC-05</t>
  </si>
  <si>
    <t xml:space="preserve">Desertion + betrayal from low trust</t>
  </si>
  <si>
    <t xml:space="preserve">FR-NPC-06</t>
  </si>
  <si>
    <t xml:space="preserve">Conversations as real loot/location hints</t>
  </si>
  <si>
    <t xml:space="preserve">FR-NPC-07</t>
  </si>
  <si>
    <t xml:space="preserve">Inter-NPC relationships affect morale</t>
  </si>
  <si>
    <t xml:space="preserve">FR-STY-01</t>
  </si>
  <si>
    <t xml:space="preserve">Three story layers (yours/city/truth)</t>
  </si>
  <si>
    <t xml:space="preserve">FR-STY-02</t>
  </si>
  <si>
    <t xml:space="preserve">Story events fire on world conditions</t>
  </si>
  <si>
    <t xml:space="preserve">FR-STY-03</t>
  </si>
  <si>
    <t xml:space="preserve">Radio network: evolving signal types</t>
  </si>
  <si>
    <t xml:space="preserve">FR-UI-04</t>
  </si>
  <si>
    <t xml:space="preserve">Depth screens on demand</t>
  </si>
  <si>
    <t xml:space="preserve">FR-UI-06</t>
  </si>
  <si>
    <t xml:space="preserve">Emotional UI + Quiet Screen for loss</t>
  </si>
  <si>
    <t xml:space="preserve">FR-AUD-01</t>
  </si>
  <si>
    <t xml:space="preserve">Audio</t>
  </si>
  <si>
    <t xml:space="preserve">Layered state-driven adaptive mix</t>
  </si>
  <si>
    <t xml:space="preserve">FR-AUD-02</t>
  </si>
  <si>
    <t xml:space="preserve">Audio as information</t>
  </si>
  <si>
    <t xml:space="preserve">FR-AUD-03</t>
  </si>
  <si>
    <t xml:space="preserve">Deliberate silence + adaptive music</t>
  </si>
  <si>
    <t xml:space="preserve">FR-AUD-06</t>
  </si>
  <si>
    <t xml:space="preserve">Non-audio equivalent for every sound cue</t>
  </si>
  <si>
    <t xml:space="preserve">FR-CNT-04</t>
  </si>
  <si>
    <t xml:space="preserve">Rule of Three for significant locations</t>
  </si>
  <si>
    <t xml:space="preserve">NFR-ACC-04</t>
  </si>
  <si>
    <t xml:space="preserve">Reduced-motion / reduced-flicker modes</t>
  </si>
  <si>
    <t xml:space="preserve">NFR-LOC-01</t>
  </si>
  <si>
    <t xml:space="preserve">Localization</t>
  </si>
  <si>
    <t xml:space="preserve">All player-facing strings externalized</t>
  </si>
  <si>
    <t xml:space="preserve">PROD-11</t>
  </si>
  <si>
    <t xml:space="preserve">Art/Audio</t>
  </si>
  <si>
    <t xml:space="preserve">Art + audio direction locked</t>
  </si>
  <si>
    <t xml:space="preserve">Art</t>
  </si>
  <si>
    <t xml:space="preserve">FR-MAP-07</t>
  </si>
  <si>
    <t xml:space="preserve">Vehicles change travel economy</t>
  </si>
  <si>
    <t xml:space="preserve">FR-MAP-08</t>
  </si>
  <si>
    <t xml:space="preserve">Fast travel between known safe nodes</t>
  </si>
  <si>
    <t xml:space="preserve">FR-PLR-08</t>
  </si>
  <si>
    <t xml:space="preserve">Unlockable starting backgrounds</t>
  </si>
  <si>
    <t xml:space="preserve">FR-PLR-09</t>
  </si>
  <si>
    <t xml:space="preserve">Legacy progression broadens starts</t>
  </si>
  <si>
    <t xml:space="preserve">FR-INJ-10</t>
  </si>
  <si>
    <t xml:space="preserve">Hidden Humanity influences endings/loyalty</t>
  </si>
  <si>
    <t xml:space="preserve">FR-INJ-11</t>
  </si>
  <si>
    <t xml:space="preserve">Scars persist; NPCs reference them</t>
  </si>
  <si>
    <t xml:space="preserve">FR-ENC-09</t>
  </si>
  <si>
    <t xml:space="preserve">Rare + legendary gated encounters</t>
  </si>
  <si>
    <t xml:space="preserve">FR-ECO-08</t>
  </si>
  <si>
    <t xml:space="preserve">Trading at scarcity/reputation prices</t>
  </si>
  <si>
    <t xml:space="preserve">FR-ECO-10</t>
  </si>
  <si>
    <t xml:space="preserve">Balance preserves the "last can" moment</t>
  </si>
  <si>
    <t xml:space="preserve">FR-SHL-08</t>
  </si>
  <si>
    <t xml:space="preserve">Memorial wall records the dead</t>
  </si>
  <si>
    <t xml:space="preserve">FR-SHL-09</t>
  </si>
  <si>
    <t xml:space="preserve">Emergent community identity read by others</t>
  </si>
  <si>
    <t xml:space="preserve">FR-NPC-08</t>
  </si>
  <si>
    <t xml:space="preserve">Personal quests; optional romance</t>
  </si>
  <si>
    <t xml:space="preserve">FR-NPC-10</t>
  </si>
  <si>
    <t xml:space="preserve">Survivor groups/factions with diplomacy</t>
  </si>
  <si>
    <t xml:space="preserve">FR-STY-04</t>
  </si>
  <si>
    <t xml:space="preserve">Player broadcasting with consequences</t>
  </si>
  <si>
    <t xml:space="preserve">FR-STY-05</t>
  </si>
  <si>
    <t xml:space="preserve">Rumor system: variably-reliable leads</t>
  </si>
  <si>
    <t xml:space="preserve">FR-STY-06</t>
  </si>
  <si>
    <t xml:space="preserve">Multiple endings from run components</t>
  </si>
  <si>
    <t xml:space="preserve">FR-STY-08</t>
  </si>
  <si>
    <t xml:space="preserve">Epilogues following surviving NPCs</t>
  </si>
  <si>
    <t xml:space="preserve">FR-STY-09</t>
  </si>
  <si>
    <t xml:space="preserve">Living History surfaces in later runs</t>
  </si>
  <si>
    <t xml:space="preserve">FR-UI-07</t>
  </si>
  <si>
    <t xml:space="preserve">Keyboard/controller parity with touch</t>
  </si>
  <si>
    <t xml:space="preserve">FR-AUD-04</t>
  </si>
  <si>
    <t xml:space="preserve">Radio sonic identity per signal type</t>
  </si>
  <si>
    <t xml:space="preserve">FR-AUD-05</t>
  </si>
  <si>
    <t xml:space="preserve">Dynamic audio memory in dreams/quiet screens</t>
  </si>
  <si>
    <t xml:space="preserve">FR-CNT-05</t>
  </si>
  <si>
    <t xml:space="preserve">Mod-friendly structure (capability)</t>
  </si>
  <si>
    <t xml:space="preserve">NFR-REL-01</t>
  </si>
  <si>
    <t xml:space="preserve">Reliability</t>
  </si>
  <si>
    <t xml:space="preserve">Crash-free ≥ 99.5%; repro from seed+state</t>
  </si>
  <si>
    <t xml:space="preserve">NFR-LOC-02</t>
  </si>
  <si>
    <t xml:space="preserve">Text-expansion tolerance; RTL considered</t>
  </si>
  <si>
    <t xml:space="preserve">PROD-09</t>
  </si>
  <si>
    <t xml:space="preserve">Balance</t>
  </si>
  <si>
    <t xml:space="preserve">Staged balance passes (GDD XVI)</t>
  </si>
  <si>
    <t xml:space="preserve">PROD-12</t>
  </si>
  <si>
    <t xml:space="preserve">Save migration proven across a schema change</t>
  </si>
  <si>
    <t xml:space="preserve">Caps that protect REVIEW CAPACITY. Set the current milestone; a red Headroom = stop authoring, go playtest.</t>
  </si>
  <si>
    <t xml:space="preserve">Current milestone:</t>
  </si>
  <si>
    <t xml:space="preserve">← change this; caps &amp; headroom update automatically</t>
  </si>
  <si>
    <t xml:space="preserve">Content type</t>
  </si>
  <si>
    <t xml:space="preserve">Cap (this milestone)</t>
  </si>
  <si>
    <t xml:space="preserve">Actual (update)</t>
  </si>
  <si>
    <t xml:space="preserve">Headroom</t>
  </si>
  <si>
    <t xml:space="preserve">type</t>
  </si>
  <si>
    <t xml:space="preserve">Regions</t>
  </si>
  <si>
    <t xml:space="preserve">Nodes</t>
  </si>
  <si>
    <t xml:space="preserve">Companions</t>
  </si>
  <si>
    <t xml:space="preserve">Zombie types</t>
  </si>
  <si>
    <t xml:space="preserve">Radio stations</t>
  </si>
  <si>
    <t xml:space="preserve">Items</t>
  </si>
  <si>
    <t xml:space="preserve">Weapons</t>
  </si>
  <si>
    <t xml:space="preserve">Going over a cap is NOT resolved by adding hours — cut Shoulds/Coulds or push the excess to the next milestone. Caps = one person’s review capacity. M5 = freeze (no new content).</t>
  </si>
  <si>
    <t xml:space="preserve">Each PRD risk mapped to the milestone that retires it. Risk reduction is scheduled, not hoped for.</t>
  </si>
  <si>
    <t xml:space="preserve">Risk</t>
  </si>
  <si>
    <t xml:space="preserve">Impact</t>
  </si>
  <si>
    <t xml:space="preserve">Likelihood</t>
  </si>
  <si>
    <t xml:space="preserve">Retired / managed at</t>
  </si>
  <si>
    <t xml:space="preserve">How</t>
  </si>
  <si>
    <t xml:space="preserve">Undecided stack stalls delivery</t>
  </si>
  <si>
    <t xml:space="preserve">Med</t>
  </si>
  <si>
    <t xml:space="preserve">Time-boxed ADR-0001; decide and move</t>
  </si>
  <si>
    <t xml:space="preserve">Open</t>
  </si>
  <si>
    <t xml:space="preserve">High</t>
  </si>
  <si>
    <t xml:space="preserve">M3 Fun Gate</t>
  </si>
  <si>
    <t xml:space="preserve">Prove the slice grips before any content pour</t>
  </si>
  <si>
    <t xml:space="preserve">Impressive but static world</t>
  </si>
  <si>
    <t xml:space="preserve">Off-screen evolution + director = reactive turns</t>
  </si>
  <si>
    <t xml:space="preserve">Content volume / repetition</t>
  </si>
  <si>
    <t xml:space="preserve">M4 (continuous)</t>
  </si>
  <si>
    <t xml:space="preserve">AI-at-volume behind review cap; recombination, Rule of Three, cooldowns; measure repeat rate</t>
  </si>
  <si>
    <t xml:space="preserve">Scope creep</t>
  </si>
  <si>
    <t xml:space="preserve">every boundary</t>
  </si>
  <si>
    <t xml:space="preserve">Cut filter + Won’t-now register + parking-lot change control</t>
  </si>
  <si>
    <t xml:space="preserve">Balance fragility</t>
  </si>
  <si>
    <t xml:space="preserve">M5 (staged passes)</t>
  </si>
  <si>
    <t xml:space="preserve">Director + comeback mechanics; telemetry on death timing/causes/margins</t>
  </si>
  <si>
    <t xml:space="preserve">Infection-as-identity confusing</t>
  </si>
  <si>
    <t xml:space="preserve">Strong symptoms + optional diagnosis; comprehension-tested</t>
  </si>
  <si>
    <t xml:space="preserve">Accessibility retrofit</t>
  </si>
  <si>
    <t xml:space="preserve">Low</t>
  </si>
  <si>
    <t xml:space="preserve">from M1</t>
  </si>
  <si>
    <t xml:space="preserve">NFR-ACC as Must from the first UI; never bolted on late</t>
  </si>
  <si>
    <t xml:space="preserve">Save-schema churn</t>
  </si>
  <si>
    <t xml:space="preserve">M1 onward</t>
  </si>
  <si>
    <t xml:space="preserve">Versioned saves + migration from the first save format</t>
  </si>
  <si>
    <t xml:space="preserve">Solo review-capacity overload</t>
  </si>
  <si>
    <t xml:space="preserve">every milestone</t>
  </si>
  <si>
    <t xml:space="preserve">Content budget caps generation to what one person can gate</t>
  </si>
  <si>
    <t xml:space="preserve">Decision Gates (ADRs)</t>
  </si>
  <si>
    <t xml:space="preserve">Open decisions tied to the milestone they must be resolved by. ADR-0001 is the one to force.</t>
  </si>
  <si>
    <t xml:space="preserve">ADR / decision</t>
  </si>
  <si>
    <t xml:space="preserve">Question</t>
  </si>
  <si>
    <t xml:space="preserve">Resolve by</t>
  </si>
  <si>
    <t xml:space="preserve">Blocks if open</t>
  </si>
  <si>
    <t xml:space="preserve">Decision / status</t>
  </si>
  <si>
    <t xml:space="preserve">ADR-0001</t>
  </si>
  <si>
    <t xml:space="preserve">Engine language &amp; runtime</t>
  </si>
  <si>
    <t xml:space="preserve">M0 (time-boxed)</t>
  </si>
  <si>
    <t xml:space="preserve">ALL code — top stall risk</t>
  </si>
  <si>
    <t xml:space="preserve">ADR-0002</t>
  </si>
  <si>
    <t xml:space="preserve">Content data format (JSON/YAML/custom)</t>
  </si>
  <si>
    <t xml:space="preserve">Content authoring tooling</t>
  </si>
  <si>
    <t xml:space="preserve">ADR-0003</t>
  </si>
  <si>
    <t xml:space="preserve">Save storage &amp; versioning</t>
  </si>
  <si>
    <t xml:space="preserve">Save migration design</t>
  </si>
  <si>
    <t xml:space="preserve">ADR-0004</t>
  </si>
  <si>
    <t xml:space="preserve">Platform ordering (native/Steam/bot)</t>
  </si>
  <si>
    <t xml:space="preserve">Post-launch client work</t>
  </si>
  <si>
    <t xml:space="preserve">Monetization</t>
  </si>
  <si>
    <t xml:space="preserve">Premium / free+cosmetic / episodic</t>
  </si>
  <si>
    <t xml:space="preserve">Launch planning</t>
  </si>
  <si>
    <t xml:space="preserve">Cross-run memory</t>
  </si>
  <si>
    <t xml:space="preserve">How much Living History carries between runs</t>
  </si>
  <si>
    <t xml:space="preserve">Endings &amp; meta-progression</t>
  </si>
  <si>
    <t xml:space="preserve">Metric thresholds</t>
  </si>
  <si>
    <t xml:space="preserve">Exact PRD §4 numeric targets</t>
  </si>
  <si>
    <t xml:space="preserve">after M2 telemetry</t>
  </si>
  <si>
    <t xml:space="preserve">Balance sign-off</t>
  </si>
  <si>
    <t xml:space="preserve">Licensing</t>
  </si>
  <si>
    <t xml:space="preserve">Proprietary / source-available / open</t>
  </si>
  <si>
    <t xml:space="preserve">before public beta (M4)</t>
  </si>
  <si>
    <t xml:space="preserve">Public distribution</t>
  </si>
  <si>
    <t xml:space="preserve">Parking Lot &amp; Won’t-Now Register</t>
  </si>
  <si>
    <t xml:space="preserve">New ideas land HERE, never in a live milestone. Triage only at boundaries. Won’t-now items are frozen.</t>
  </si>
  <si>
    <t xml:space="preserve">Idea / feature</t>
  </si>
  <si>
    <t xml:space="preserve">Source</t>
  </si>
  <si>
    <t xml:space="preserve">Serves a principle?</t>
  </si>
  <si>
    <t xml:space="preserve">Reason</t>
  </si>
  <si>
    <t xml:space="preserve">Triage milestone</t>
  </si>
  <si>
    <t xml:space="preserve">Multiplayer / PvP</t>
  </si>
  <si>
    <t xml:space="preserve">PRD §6 Won’t-now</t>
  </si>
  <si>
    <t xml:space="preserve">No (breaks single-player focus)</t>
  </si>
  <si>
    <t xml:space="preserve">Won’t-now (frozen)</t>
  </si>
  <si>
    <t xml:space="preserve">Out of scope for v1.0; not required to prove the game</t>
  </si>
  <si>
    <t xml:space="preserve">UGC / mod marketplace</t>
  </si>
  <si>
    <t xml:space="preserve">PRD §6</t>
  </si>
  <si>
    <t xml:space="preserve">Partial (P1 content-as-data)</t>
  </si>
  <si>
    <t xml:space="preserve">Capability yes (FR-CNT-05 Could), storefront no</t>
  </si>
  <si>
    <t xml:space="preserve">post-launch</t>
  </si>
  <si>
    <t xml:space="preserve">Cities beyond the launch city</t>
  </si>
  <si>
    <t xml:space="preserve">Yes (P3)</t>
  </si>
  <si>
    <t xml:space="preserve">One city proves the game; more is post-launch</t>
  </si>
  <si>
    <t xml:space="preserve">Full faction territory wars</t>
  </si>
  <si>
    <t xml:space="preserve">Yes (P5)</t>
  </si>
  <si>
    <t xml:space="preserve">Depth trap; factions ship shallow at v1 (FR-NPC-10 Could)</t>
  </si>
  <si>
    <t xml:space="preserve">Animal ecosystems</t>
  </si>
  <si>
    <t xml:space="preserve">Weak</t>
  </si>
  <si>
    <t xml:space="preserve">No principle strongly served; recorded, not cut</t>
  </si>
  <si>
    <t xml:space="preserve">Deep vehicle modification</t>
  </si>
  <si>
    <t xml:space="preserve">Weak (P4)</t>
  </si>
  <si>
    <t xml:space="preserve">Vehicles are Could (FR-MAP-07); modification depth is not</t>
  </si>
  <si>
    <t xml:space="preserve">Live-service / always-online</t>
  </si>
  <si>
    <t xml:space="preserve">PRD §3 non-goal</t>
  </si>
  <si>
    <t xml:space="preserve">Contradicts offline-capable, no-treadmill goal</t>
  </si>
  <si>
    <t xml:space="preserve">(capture new ideas below — do not add to a live milestone)</t>
  </si>
  <si>
    <t xml:space="preserve">Parked</t>
  </si>
  <si>
    <t xml:space="preserve">next boundary</t>
  </si>
  <si>
    <t xml:space="preserve">Every gate verdict. The retellable moment is the evidence. The gate governs scope.</t>
  </si>
  <si>
    <t xml:space="preserve">Date</t>
  </si>
  <si>
    <t xml:space="preserve">Stage</t>
  </si>
  <si>
    <t xml:space="preserve">Build / seed</t>
  </si>
  <si>
    <t xml:space="preserve">Retellable moment? (what)</t>
  </si>
  <si>
    <t xml:space="preserve">"One more day"?</t>
  </si>
  <si>
    <t xml:space="preserve">SLICE FUN GATE</t>
  </si>
  <si>
    <t xml:space="preserve">"one more day" (external)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</si>
</sst>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2803A"/>
      <name val="Arial"/>
      <family val="0"/>
      <charset val="1"/>
    </font>
    <font>
      <sz val="10"/>
      <color rgb="FFB7B3A9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F2803A"/>
      <name val="Arial"/>
      <family val="0"/>
      <charset val="1"/>
    </font>
    <font>
      <b val="true"/>
      <sz val="10"/>
      <color rgb="FFEDE7DB"/>
      <name val="Arial"/>
      <family val="0"/>
      <charset val="1"/>
    </font>
    <font>
      <b val="true"/>
      <sz val="10"/>
      <color rgb="FF5C7A94"/>
      <name val="Arial"/>
      <family val="0"/>
      <charset val="1"/>
    </font>
    <font>
      <b val="true"/>
      <sz val="10"/>
      <color rgb="FFD84334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D96A28"/>
      <name val="Arial"/>
      <family val="0"/>
      <charset val="1"/>
    </font>
    <font>
      <b val="true"/>
      <sz val="9"/>
      <color rgb="FFD84334"/>
      <name val="Arial"/>
      <family val="0"/>
      <charset val="1"/>
    </font>
    <font>
      <b val="true"/>
      <sz val="9"/>
      <color rgb="FF5C7A94"/>
      <name val="Arial"/>
      <family val="0"/>
      <charset val="1"/>
    </font>
    <font>
      <b val="true"/>
      <sz val="9"/>
      <color rgb="FFE0A33B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2"/>
      <color rgb="FFF2803A"/>
      <name val="Arial"/>
      <family val="0"/>
      <charset val="1"/>
    </font>
    <font>
      <b val="true"/>
      <sz val="9"/>
      <color rgb="FF8B8981"/>
      <name val="Arial"/>
      <family val="0"/>
      <charset val="1"/>
    </font>
    <font>
      <sz val="10"/>
      <color rgb="FF0000CC"/>
      <name val="Arial"/>
      <family val="0"/>
      <charset val="1"/>
    </font>
    <font>
      <sz val="9"/>
      <color rgb="FF8B8981"/>
      <name val="Arial"/>
      <family val="0"/>
      <charset val="1"/>
    </font>
    <font>
      <sz val="10"/>
      <name val="Arial"/>
      <family val="2"/>
    </font>
    <font>
      <b val="true"/>
      <sz val="10"/>
      <color rgb="FFE0A33B"/>
      <name val="Arial"/>
      <family val="0"/>
      <charset val="1"/>
    </font>
    <font>
      <b val="true"/>
      <sz val="10"/>
      <color rgb="FFD96A28"/>
      <name val="Arial"/>
      <family val="0"/>
      <charset val="1"/>
    </font>
    <font>
      <b val="true"/>
      <sz val="10"/>
      <color rgb="FF8B898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E0F10"/>
        <bgColor rgb="FF1A1A1A"/>
      </patternFill>
    </fill>
    <fill>
      <patternFill patternType="solid">
        <fgColor rgb="FF1E2024"/>
        <bgColor rgb="FF1A1A1A"/>
      </patternFill>
    </fill>
    <fill>
      <patternFill patternType="solid">
        <fgColor rgb="FFFAF8F3"/>
        <bgColor rgb="FFFBF0D9"/>
      </patternFill>
    </fill>
    <fill>
      <patternFill patternType="solid">
        <fgColor rgb="FFF0EDE4"/>
        <bgColor rgb="FFEDE7DB"/>
      </patternFill>
    </fill>
    <fill>
      <patternFill patternType="solid">
        <fgColor rgb="FFF7DEDA"/>
        <bgColor rgb="FFFCE7D8"/>
      </patternFill>
    </fill>
    <fill>
      <patternFill patternType="solid">
        <fgColor rgb="FFFCE7D8"/>
        <bgColor rgb="FFFB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C2E34"/>
      </left>
      <right style="thin">
        <color rgb="FF2C2E34"/>
      </right>
      <top style="thin">
        <color rgb="FF2C2E34"/>
      </top>
      <bottom style="thin">
        <color rgb="FFF2803A"/>
      </bottom>
      <diagonal/>
    </border>
    <border diagonalUp="false" diagonalDown="false">
      <left style="thin">
        <color rgb="FF2C2E34"/>
      </left>
      <right style="thin">
        <color rgb="FF2C2E34"/>
      </right>
      <top/>
      <bottom style="thin">
        <color rgb="FF2C2E34"/>
      </bottom>
      <diagonal/>
    </border>
    <border diagonalUp="false" diagonalDown="false">
      <left style="thin">
        <color rgb="FFF2803A"/>
      </left>
      <right style="thin">
        <color rgb="FFF2803A"/>
      </right>
      <top style="thin">
        <color rgb="FFF2803A"/>
      </top>
      <bottom style="thin">
        <color rgb="FFF280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E2024"/>
          <bgColor rgb="FF000000"/>
        </patternFill>
      </fill>
    </dxf>
    <dxf>
      <fill>
        <patternFill patternType="solid">
          <fgColor rgb="FFF0EDE4"/>
          <bgColor rgb="FF000000"/>
        </patternFill>
      </fill>
    </dxf>
    <dxf>
      <fill>
        <patternFill patternType="solid">
          <fgColor rgb="FFFAF8F3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EDE7DB"/>
          <bgColor rgb="FF000000"/>
        </patternFill>
      </fill>
    </dxf>
    <dxf>
      <fill>
        <patternFill patternType="solid">
          <fgColor rgb="FFD96A28"/>
          <bgColor rgb="FF000000"/>
        </patternFill>
      </fill>
    </dxf>
    <dxf>
      <fill>
        <patternFill patternType="solid">
          <fgColor rgb="FF5C7A94"/>
          <bgColor rgb="FF000000"/>
        </patternFill>
      </fill>
    </dxf>
    <dxf>
      <fill>
        <patternFill patternType="solid">
          <fgColor rgb="FFD84334"/>
          <bgColor rgb="FF000000"/>
        </patternFill>
      </fill>
    </dxf>
    <dxf>
      <fill>
        <patternFill patternType="solid">
          <fgColor rgb="FFE0A33B"/>
          <bgColor rgb="FF000000"/>
        </patternFill>
      </fill>
    </dxf>
    <dxf>
      <font>
        <name val="Arial"/>
        <charset val="1"/>
        <family val="0"/>
        <b val="1"/>
        <strike val="0"/>
        <color rgb="FF2E7D32"/>
        <sz val="9"/>
      </font>
      <fill>
        <patternFill>
          <bgColor rgb="FFE4F1EC"/>
        </patternFill>
      </fill>
    </dxf>
    <dxf>
      <font>
        <name val="Arial"/>
        <charset val="1"/>
        <family val="0"/>
        <b val="1"/>
        <strike val="0"/>
        <color rgb="FF8A6D00"/>
        <sz val="9"/>
      </font>
      <fill>
        <patternFill>
          <bgColor rgb="FFFBF0D9"/>
        </patternFill>
      </fill>
    </dxf>
    <dxf>
      <font>
        <name val="Arial"/>
        <charset val="1"/>
        <family val="0"/>
        <b val="1"/>
        <strike val="0"/>
        <color rgb="FFB0281C"/>
        <sz val="9"/>
      </font>
      <fill>
        <patternFill>
          <bgColor rgb="FFF7DEDA"/>
        </patternFill>
      </fill>
    </dxf>
    <dxf>
      <font>
        <name val="Arial"/>
        <charset val="1"/>
        <family val="0"/>
        <strike val="1"/>
        <color rgb="FF8B8981"/>
        <sz val="9"/>
      </font>
      <fill>
        <patternFill>
          <bgColor rgb="FFF0EDE4"/>
        </patternFill>
      </fill>
    </dxf>
    <dxf>
      <font>
        <name val="Arial"/>
        <charset val="1"/>
        <family val="0"/>
        <b val="1"/>
        <strike val="0"/>
        <color rgb="FFB0281C"/>
        <sz val="10"/>
      </font>
      <fill>
        <patternFill>
          <bgColor rgb="FFF7DEDA"/>
        </patternFill>
      </fill>
    </dxf>
    <dxf>
      <font>
        <name val="Arial"/>
        <charset val="1"/>
        <family val="0"/>
        <b val="1"/>
        <strike val="0"/>
        <color rgb="FF8A6D00"/>
        <sz val="10"/>
      </font>
      <fill>
        <patternFill>
          <bgColor rgb="FFFBF0D9"/>
        </patternFill>
      </fill>
    </dxf>
    <dxf>
      <font>
        <name val="Arial"/>
        <charset val="1"/>
        <family val="0"/>
        <b val="1"/>
        <strike val="0"/>
        <color rgb="FF2E7D32"/>
        <sz val="10"/>
      </font>
      <fill>
        <patternFill>
          <bgColor rgb="FFE4F1EC"/>
        </patternFill>
      </fill>
    </dxf>
  </dxfs>
  <colors>
    <indexedColors>
      <rgbColor rgb="FF000000"/>
      <rgbColor rgb="FFFAF8F3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E0F10"/>
      <rgbColor rgb="FF8A6D00"/>
      <rgbColor rgb="FF800080"/>
      <rgbColor rgb="FF008080"/>
      <rgbColor rgb="FFB7B3A9"/>
      <rgbColor rgb="FF8B8981"/>
      <rgbColor rgb="FF9999FF"/>
      <rgbColor rgb="FFD84334"/>
      <rgbColor rgb="FFFBF0D9"/>
      <rgbColor rgb="FFE4F1EC"/>
      <rgbColor rgb="FF660066"/>
      <rgbColor rgb="FFF2803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DB"/>
      <rgbColor rgb="FFF0EDE4"/>
      <rgbColor rgb="FFFCE7D8"/>
      <rgbColor rgb="FF99CCFF"/>
      <rgbColor rgb="FFFF99CC"/>
      <rgbColor rgb="FFCC99FF"/>
      <rgbColor rgb="FFF7DEDA"/>
      <rgbColor rgb="FF3366FF"/>
      <rgbColor rgb="FF5FB3A1"/>
      <rgbColor rgb="FF99CC00"/>
      <rgbColor rgb="FFFFCC00"/>
      <rgbColor rgb="FFE0A33B"/>
      <rgbColor rgb="FFD96A28"/>
      <rgbColor rgb="FF5C7A94"/>
      <rgbColor rgb="FF969696"/>
      <rgbColor rgb="FF003366"/>
      <rgbColor rgb="FF2E7D32"/>
      <rgbColor rgb="FF1A1A1A"/>
      <rgbColor rgb="FF1E2024"/>
      <rgbColor rgb="FFB0281C"/>
      <rgbColor rgb="FF993366"/>
      <rgbColor rgb="FF333399"/>
      <rgbColor rgb="FF2C2E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803A"/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/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2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3" t="s">
        <v>3</v>
      </c>
      <c r="B6" s="4" t="s">
        <v>4</v>
      </c>
      <c r="C6" s="4"/>
      <c r="D6" s="4"/>
      <c r="E6" s="4"/>
      <c r="F6" s="4"/>
    </row>
    <row r="7" customFormat="false" ht="15" hidden="false" customHeight="true" outlineLevel="0" collapsed="false">
      <c r="A7" s="3" t="s">
        <v>5</v>
      </c>
      <c r="B7" s="4" t="s">
        <v>6</v>
      </c>
      <c r="C7" s="4"/>
      <c r="D7" s="4"/>
      <c r="E7" s="4"/>
      <c r="F7" s="4"/>
    </row>
    <row r="8" customFormat="false" ht="15" hidden="false" customHeight="true" outlineLevel="0" collapsed="false">
      <c r="A8" s="3" t="s">
        <v>7</v>
      </c>
      <c r="B8" s="4" t="s">
        <v>8</v>
      </c>
      <c r="C8" s="4"/>
      <c r="D8" s="4"/>
      <c r="E8" s="4"/>
      <c r="F8" s="4"/>
    </row>
    <row r="9" customFormat="false" ht="15" hidden="false" customHeight="true" outlineLevel="0" collapsed="false">
      <c r="A9" s="3" t="s">
        <v>9</v>
      </c>
      <c r="B9" s="4" t="s">
        <v>10</v>
      </c>
      <c r="C9" s="4"/>
      <c r="D9" s="4"/>
      <c r="E9" s="4"/>
      <c r="F9" s="4"/>
    </row>
    <row r="10" customFormat="false" ht="15" hidden="false" customHeight="true" outlineLevel="0" collapsed="false">
      <c r="A10" s="3" t="s">
        <v>11</v>
      </c>
      <c r="B10" s="4" t="s">
        <v>12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13</v>
      </c>
      <c r="B11" s="4" t="s">
        <v>14</v>
      </c>
      <c r="C11" s="4"/>
      <c r="D11" s="4"/>
      <c r="E11" s="4"/>
      <c r="F11" s="4"/>
    </row>
    <row r="12" customFormat="false" ht="15" hidden="false" customHeight="true" outlineLevel="0" collapsed="false">
      <c r="A12" s="3" t="s">
        <v>15</v>
      </c>
      <c r="B12" s="4" t="s">
        <v>16</v>
      </c>
      <c r="C12" s="4"/>
      <c r="D12" s="4"/>
      <c r="E12" s="4"/>
      <c r="F12" s="4"/>
    </row>
    <row r="13" customFormat="false" ht="15" hidden="false" customHeight="false" outlineLevel="0" collapsed="false">
      <c r="A13" s="3"/>
      <c r="B13" s="4"/>
      <c r="C13" s="4"/>
      <c r="D13" s="4"/>
      <c r="E13" s="4"/>
      <c r="F13" s="4"/>
    </row>
    <row r="14" customFormat="false" ht="26.85" hidden="false" customHeight="false" outlineLevel="0" collapsed="false">
      <c r="A14" s="5" t="s">
        <v>17</v>
      </c>
      <c r="B14" s="4"/>
      <c r="C14" s="4"/>
      <c r="D14" s="4"/>
      <c r="E14" s="4"/>
      <c r="F14" s="4"/>
    </row>
    <row r="15" customFormat="false" ht="23.85" hidden="false" customHeight="true" outlineLevel="0" collapsed="false">
      <c r="A15" s="3" t="s">
        <v>18</v>
      </c>
      <c r="B15" s="4" t="s">
        <v>19</v>
      </c>
      <c r="C15" s="4"/>
      <c r="D15" s="4"/>
      <c r="E15" s="4"/>
      <c r="F15" s="4"/>
    </row>
    <row r="16" customFormat="false" ht="15" hidden="false" customHeight="true" outlineLevel="0" collapsed="false">
      <c r="A16" s="5" t="s">
        <v>20</v>
      </c>
      <c r="B16" s="4" t="s">
        <v>21</v>
      </c>
      <c r="C16" s="4"/>
      <c r="D16" s="4"/>
      <c r="E16" s="4"/>
      <c r="F16" s="4"/>
    </row>
    <row r="17" customFormat="false" ht="15" hidden="false" customHeight="true" outlineLevel="0" collapsed="false">
      <c r="A17" s="5" t="s">
        <v>22</v>
      </c>
      <c r="B17" s="4" t="s">
        <v>23</v>
      </c>
      <c r="C17" s="4"/>
      <c r="D17" s="4"/>
      <c r="E17" s="4"/>
      <c r="F17" s="4"/>
    </row>
    <row r="18" customFormat="false" ht="15" hidden="false" customHeight="true" outlineLevel="0" collapsed="false">
      <c r="A18" s="5" t="s">
        <v>24</v>
      </c>
      <c r="B18" s="4" t="s">
        <v>25</v>
      </c>
      <c r="C18" s="4"/>
      <c r="D18" s="4"/>
      <c r="E18" s="4"/>
      <c r="F18" s="4"/>
    </row>
    <row r="19" customFormat="false" ht="15" hidden="false" customHeight="true" outlineLevel="0" collapsed="false">
      <c r="A19" s="5" t="s">
        <v>26</v>
      </c>
      <c r="B19" s="4" t="s">
        <v>27</v>
      </c>
      <c r="C19" s="4"/>
      <c r="D19" s="4"/>
      <c r="E19" s="4"/>
      <c r="F19" s="4"/>
    </row>
    <row r="20" customFormat="false" ht="15" hidden="false" customHeight="true" outlineLevel="0" collapsed="false">
      <c r="A20" s="5" t="s">
        <v>28</v>
      </c>
      <c r="B20" s="4" t="s">
        <v>29</v>
      </c>
      <c r="C20" s="4"/>
      <c r="D20" s="4"/>
      <c r="E20" s="4"/>
      <c r="F20" s="4"/>
    </row>
    <row r="21" customFormat="false" ht="15" hidden="false" customHeight="true" outlineLevel="0" collapsed="false">
      <c r="A21" s="5" t="s">
        <v>30</v>
      </c>
      <c r="B21" s="4" t="s">
        <v>31</v>
      </c>
      <c r="C21" s="4"/>
      <c r="D21" s="4"/>
      <c r="E21" s="4"/>
      <c r="F21" s="4"/>
    </row>
    <row r="22" customFormat="false" ht="15" hidden="false" customHeight="false" outlineLevel="0" collapsed="false">
      <c r="A22" s="3"/>
      <c r="B22" s="4"/>
      <c r="C22" s="4"/>
      <c r="D22" s="4"/>
      <c r="E22" s="4"/>
      <c r="F22" s="4"/>
    </row>
    <row r="23" customFormat="false" ht="15" hidden="false" customHeight="false" outlineLevel="0" collapsed="false">
      <c r="A23" s="5" t="s">
        <v>32</v>
      </c>
      <c r="B23" s="4"/>
      <c r="C23" s="4"/>
      <c r="D23" s="4"/>
      <c r="E23" s="4"/>
      <c r="F23" s="4"/>
    </row>
    <row r="24" customFormat="false" ht="15" hidden="false" customHeight="true" outlineLevel="0" collapsed="false">
      <c r="A24" s="3" t="s">
        <v>33</v>
      </c>
      <c r="B24" s="4" t="s">
        <v>34</v>
      </c>
      <c r="C24" s="4"/>
      <c r="D24" s="4"/>
      <c r="E24" s="4"/>
      <c r="F24" s="4"/>
    </row>
    <row r="25" customFormat="false" ht="15" hidden="false" customHeight="true" outlineLevel="0" collapsed="false">
      <c r="A25" s="3" t="s">
        <v>35</v>
      </c>
      <c r="B25" s="4" t="s">
        <v>36</v>
      </c>
      <c r="C25" s="4"/>
      <c r="D25" s="4"/>
      <c r="E25" s="4"/>
      <c r="F25" s="4"/>
    </row>
    <row r="26" customFormat="false" ht="15" hidden="false" customHeight="true" outlineLevel="0" collapsed="false">
      <c r="A26" s="3" t="s">
        <v>37</v>
      </c>
      <c r="B26" s="4" t="s">
        <v>38</v>
      </c>
      <c r="C26" s="4"/>
      <c r="D26" s="4"/>
      <c r="E26" s="4"/>
      <c r="F26" s="4"/>
    </row>
    <row r="27" customFormat="false" ht="15" hidden="false" customHeight="true" outlineLevel="0" collapsed="false">
      <c r="A27" s="3" t="s">
        <v>39</v>
      </c>
      <c r="B27" s="4" t="s">
        <v>40</v>
      </c>
      <c r="C27" s="4"/>
      <c r="D27" s="4"/>
      <c r="E27" s="4"/>
      <c r="F27" s="4"/>
    </row>
  </sheetData>
  <mergeCells count="26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803A"/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8" min="7" style="0" width="20"/>
    <col collapsed="false" customWidth="true" hidden="false" outlineLevel="0" max="9" min="9" style="0" width="54"/>
  </cols>
  <sheetData>
    <row r="1" customFormat="false" ht="30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42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6" t="s">
        <v>43</v>
      </c>
      <c r="B4" s="6" t="s">
        <v>44</v>
      </c>
      <c r="C4" s="6" t="s">
        <v>45</v>
      </c>
      <c r="D4" s="6" t="s">
        <v>46</v>
      </c>
      <c r="E4" s="6" t="s">
        <v>47</v>
      </c>
      <c r="F4" s="6" t="s">
        <v>48</v>
      </c>
      <c r="G4" s="6" t="s">
        <v>49</v>
      </c>
      <c r="H4" s="6" t="s">
        <v>50</v>
      </c>
      <c r="I4" s="6" t="s">
        <v>51</v>
      </c>
    </row>
    <row r="5" customFormat="false" ht="45.75" hidden="false" customHeight="true" outlineLevel="0" collapsed="false">
      <c r="A5" s="7" t="s">
        <v>52</v>
      </c>
      <c r="B5" s="8" t="s">
        <v>53</v>
      </c>
      <c r="C5" s="9" t="s">
        <v>54</v>
      </c>
      <c r="D5" s="9" t="s">
        <v>55</v>
      </c>
      <c r="E5" s="10" t="s">
        <v>56</v>
      </c>
      <c r="F5" s="11" t="n">
        <f aca="false">IFERROR(COUNTIFS(Backlog!$D:$D,$A5,Backlog!$J:$J,"Done")/COUNTIFS(Backlog!$D:$D,$A5),"—")</f>
        <v>0</v>
      </c>
      <c r="G5" s="9" t="s">
        <v>57</v>
      </c>
      <c r="H5" s="9" t="s">
        <v>58</v>
      </c>
      <c r="I5" s="9" t="s">
        <v>59</v>
      </c>
    </row>
    <row r="6" customFormat="false" ht="45.75" hidden="false" customHeight="true" outlineLevel="0" collapsed="false">
      <c r="A6" s="12" t="s">
        <v>60</v>
      </c>
      <c r="B6" s="13" t="s">
        <v>61</v>
      </c>
      <c r="C6" s="14" t="s">
        <v>62</v>
      </c>
      <c r="D6" s="14" t="s">
        <v>63</v>
      </c>
      <c r="E6" s="15" t="s">
        <v>64</v>
      </c>
      <c r="F6" s="16" t="n">
        <f aca="false">IFERROR(COUNTIFS(Backlog!$D:$D,$A6,Backlog!$J:$J,"Done")/COUNTIFS(Backlog!$D:$D,$A6),"—")</f>
        <v>0</v>
      </c>
      <c r="G6" s="14" t="s">
        <v>65</v>
      </c>
      <c r="H6" s="14" t="s">
        <v>66</v>
      </c>
      <c r="I6" s="14" t="s">
        <v>67</v>
      </c>
    </row>
    <row r="7" customFormat="false" ht="45.75" hidden="false" customHeight="true" outlineLevel="0" collapsed="false">
      <c r="A7" s="7" t="s">
        <v>68</v>
      </c>
      <c r="B7" s="8" t="s">
        <v>69</v>
      </c>
      <c r="C7" s="9" t="s">
        <v>70</v>
      </c>
      <c r="D7" s="9" t="s">
        <v>63</v>
      </c>
      <c r="E7" s="10" t="s">
        <v>64</v>
      </c>
      <c r="F7" s="11" t="n">
        <f aca="false">IFERROR(COUNTIFS(Backlog!$D:$D,$A7,Backlog!$J:$J,"Done")/COUNTIFS(Backlog!$D:$D,$A7),"—")</f>
        <v>0</v>
      </c>
      <c r="G7" s="9" t="s">
        <v>57</v>
      </c>
      <c r="H7" s="9" t="s">
        <v>71</v>
      </c>
      <c r="I7" s="9" t="s">
        <v>72</v>
      </c>
    </row>
    <row r="8" customFormat="false" ht="45.75" hidden="false" customHeight="true" outlineLevel="0" collapsed="false">
      <c r="A8" s="12" t="s">
        <v>73</v>
      </c>
      <c r="B8" s="13" t="s">
        <v>74</v>
      </c>
      <c r="C8" s="14" t="s">
        <v>75</v>
      </c>
      <c r="D8" s="14" t="s">
        <v>76</v>
      </c>
      <c r="E8" s="15" t="s">
        <v>77</v>
      </c>
      <c r="F8" s="16" t="n">
        <f aca="false">IFERROR(COUNTIFS(Backlog!$D:$D,$A8,Backlog!$J:$J,"Done")/COUNTIFS(Backlog!$D:$D,$A8),"—")</f>
        <v>0</v>
      </c>
      <c r="G8" s="17" t="s">
        <v>78</v>
      </c>
      <c r="H8" s="14" t="s">
        <v>79</v>
      </c>
      <c r="I8" s="14" t="s">
        <v>80</v>
      </c>
    </row>
    <row r="9" customFormat="false" ht="45.75" hidden="false" customHeight="true" outlineLevel="0" collapsed="false">
      <c r="A9" s="7" t="s">
        <v>81</v>
      </c>
      <c r="B9" s="8" t="s">
        <v>82</v>
      </c>
      <c r="C9" s="9" t="s">
        <v>83</v>
      </c>
      <c r="D9" s="9" t="s">
        <v>84</v>
      </c>
      <c r="E9" s="10" t="s">
        <v>77</v>
      </c>
      <c r="F9" s="11" t="n">
        <f aca="false">IFERROR(COUNTIFS(Backlog!$D:$D,$A9,Backlog!$J:$J,"Done")/COUNTIFS(Backlog!$D:$D,$A9),"—")</f>
        <v>0</v>
      </c>
      <c r="G9" s="9" t="s">
        <v>57</v>
      </c>
      <c r="H9" s="9" t="s">
        <v>85</v>
      </c>
      <c r="I9" s="9" t="s">
        <v>86</v>
      </c>
    </row>
    <row r="10" customFormat="false" ht="45.75" hidden="false" customHeight="true" outlineLevel="0" collapsed="false">
      <c r="A10" s="12" t="s">
        <v>87</v>
      </c>
      <c r="B10" s="13" t="s">
        <v>88</v>
      </c>
      <c r="C10" s="14" t="s">
        <v>89</v>
      </c>
      <c r="D10" s="14" t="s">
        <v>90</v>
      </c>
      <c r="E10" s="15" t="s">
        <v>77</v>
      </c>
      <c r="F10" s="16" t="n">
        <f aca="false">IFERROR(COUNTIFS(Backlog!$D:$D,$A10,Backlog!$J:$J,"Done")/COUNTIFS(Backlog!$D:$D,$A10),"—")</f>
        <v>0</v>
      </c>
      <c r="G10" s="14" t="s">
        <v>91</v>
      </c>
      <c r="H10" s="14" t="s">
        <v>92</v>
      </c>
      <c r="I10" s="14" t="s">
        <v>93</v>
      </c>
    </row>
    <row r="11" customFormat="false" ht="45.75" hidden="false" customHeight="true" outlineLevel="0" collapsed="false">
      <c r="A11" s="7" t="s">
        <v>94</v>
      </c>
      <c r="B11" s="8" t="s">
        <v>95</v>
      </c>
      <c r="C11" s="9" t="s">
        <v>96</v>
      </c>
      <c r="D11" s="9" t="s">
        <v>97</v>
      </c>
      <c r="E11" s="10" t="s">
        <v>98</v>
      </c>
      <c r="F11" s="11" t="str">
        <f aca="false">IFERROR(COUNTIFS(Backlog!$D:$D,$A11,Backlog!$J:$J,"Done")/COUNTIFS(Backlog!$D:$D,$A11),"—")</f>
        <v>—</v>
      </c>
      <c r="G11" s="9" t="s">
        <v>57</v>
      </c>
      <c r="H11" s="9" t="s">
        <v>99</v>
      </c>
      <c r="I11" s="9" t="s">
        <v>100</v>
      </c>
    </row>
    <row r="13" customFormat="false" ht="15" hidden="false" customHeight="true" outlineLevel="0" collapsed="false">
      <c r="A13" s="18" t="s">
        <v>101</v>
      </c>
      <c r="B13" s="18"/>
      <c r="C13" s="18"/>
      <c r="D13" s="18"/>
      <c r="E13" s="18"/>
      <c r="F13" s="18"/>
      <c r="G13" s="18"/>
      <c r="H13" s="18"/>
      <c r="I13" s="18"/>
    </row>
  </sheetData>
  <mergeCells count="3">
    <mergeCell ref="A1:I1"/>
    <mergeCell ref="A2:I2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7A94"/>
    <pageSetUpPr fitToPage="false"/>
  </sheetPr>
  <dimension ref="A1:L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26"/>
  </cols>
  <sheetData>
    <row r="1" customFormat="false" ht="30" hidden="false" customHeight="true" outlineLevel="0" collapsed="false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6" t="s">
        <v>43</v>
      </c>
      <c r="B4" s="6" t="s">
        <v>103</v>
      </c>
      <c r="C4" s="6" t="s">
        <v>104</v>
      </c>
      <c r="D4" s="6" t="s">
        <v>44</v>
      </c>
      <c r="E4" s="6" t="s">
        <v>33</v>
      </c>
      <c r="F4" s="6" t="s">
        <v>105</v>
      </c>
      <c r="G4" s="6" t="s">
        <v>106</v>
      </c>
      <c r="H4" s="6" t="s">
        <v>47</v>
      </c>
      <c r="I4" s="6" t="s">
        <v>107</v>
      </c>
      <c r="J4" s="6" t="s">
        <v>108</v>
      </c>
      <c r="K4" s="6" t="s">
        <v>109</v>
      </c>
      <c r="L4" s="6" t="s">
        <v>110</v>
      </c>
    </row>
    <row r="5" customFormat="false" ht="22.35" hidden="false" customHeight="false" outlineLevel="0" collapsed="false">
      <c r="A5" s="19" t="s">
        <v>111</v>
      </c>
      <c r="B5" s="20" t="s">
        <v>53</v>
      </c>
      <c r="C5" s="20" t="s">
        <v>112</v>
      </c>
      <c r="D5" s="21" t="s">
        <v>52</v>
      </c>
      <c r="E5" s="22" t="s">
        <v>113</v>
      </c>
      <c r="F5" s="20" t="s">
        <v>114</v>
      </c>
      <c r="G5" s="23" t="s">
        <v>20</v>
      </c>
      <c r="H5" s="24" t="s">
        <v>115</v>
      </c>
      <c r="I5" s="24" t="s">
        <v>116</v>
      </c>
      <c r="J5" s="24" t="s">
        <v>117</v>
      </c>
      <c r="K5" s="24" t="s">
        <v>116</v>
      </c>
      <c r="L5" s="20"/>
    </row>
    <row r="6" customFormat="false" ht="15" hidden="false" customHeight="false" outlineLevel="0" collapsed="false">
      <c r="A6" s="25" t="s">
        <v>118</v>
      </c>
      <c r="B6" s="26" t="s">
        <v>53</v>
      </c>
      <c r="C6" s="26" t="s">
        <v>119</v>
      </c>
      <c r="D6" s="27" t="s">
        <v>52</v>
      </c>
      <c r="E6" s="28" t="s">
        <v>113</v>
      </c>
      <c r="F6" s="26" t="s">
        <v>120</v>
      </c>
      <c r="G6" s="29" t="s">
        <v>20</v>
      </c>
      <c r="H6" s="30" t="s">
        <v>56</v>
      </c>
      <c r="I6" s="30" t="s">
        <v>121</v>
      </c>
      <c r="J6" s="30" t="s">
        <v>117</v>
      </c>
      <c r="K6" s="30" t="s">
        <v>116</v>
      </c>
      <c r="L6" s="26"/>
    </row>
    <row r="7" customFormat="false" ht="15" hidden="false" customHeight="false" outlineLevel="0" collapsed="false">
      <c r="A7" s="19" t="s">
        <v>122</v>
      </c>
      <c r="B7" s="20" t="s">
        <v>53</v>
      </c>
      <c r="C7" s="20" t="s">
        <v>123</v>
      </c>
      <c r="D7" s="21" t="s">
        <v>52</v>
      </c>
      <c r="E7" s="22" t="s">
        <v>113</v>
      </c>
      <c r="F7" s="20" t="s">
        <v>120</v>
      </c>
      <c r="G7" s="23" t="s">
        <v>20</v>
      </c>
      <c r="H7" s="24" t="s">
        <v>115</v>
      </c>
      <c r="I7" s="24" t="s">
        <v>121</v>
      </c>
      <c r="J7" s="24" t="s">
        <v>117</v>
      </c>
      <c r="K7" s="24" t="s">
        <v>116</v>
      </c>
      <c r="L7" s="20"/>
    </row>
    <row r="8" customFormat="false" ht="15" hidden="false" customHeight="false" outlineLevel="0" collapsed="false">
      <c r="A8" s="25" t="s">
        <v>124</v>
      </c>
      <c r="B8" s="26" t="s">
        <v>53</v>
      </c>
      <c r="C8" s="26" t="s">
        <v>125</v>
      </c>
      <c r="D8" s="27" t="s">
        <v>52</v>
      </c>
      <c r="E8" s="28" t="s">
        <v>113</v>
      </c>
      <c r="F8" s="26" t="s">
        <v>120</v>
      </c>
      <c r="G8" s="29" t="s">
        <v>20</v>
      </c>
      <c r="H8" s="30" t="s">
        <v>56</v>
      </c>
      <c r="I8" s="30" t="s">
        <v>121</v>
      </c>
      <c r="J8" s="30" t="s">
        <v>117</v>
      </c>
      <c r="K8" s="30" t="s">
        <v>116</v>
      </c>
      <c r="L8" s="26"/>
    </row>
    <row r="9" customFormat="false" ht="15" hidden="false" customHeight="false" outlineLevel="0" collapsed="false">
      <c r="A9" s="19" t="s">
        <v>126</v>
      </c>
      <c r="B9" s="20" t="s">
        <v>53</v>
      </c>
      <c r="C9" s="20" t="s">
        <v>127</v>
      </c>
      <c r="D9" s="21" t="s">
        <v>52</v>
      </c>
      <c r="E9" s="22" t="s">
        <v>113</v>
      </c>
      <c r="F9" s="20" t="s">
        <v>128</v>
      </c>
      <c r="G9" s="23" t="s">
        <v>20</v>
      </c>
      <c r="H9" s="24" t="s">
        <v>115</v>
      </c>
      <c r="I9" s="24" t="s">
        <v>121</v>
      </c>
      <c r="J9" s="24" t="s">
        <v>117</v>
      </c>
      <c r="K9" s="24" t="s">
        <v>116</v>
      </c>
      <c r="L9" s="20"/>
    </row>
    <row r="10" customFormat="false" ht="15" hidden="false" customHeight="false" outlineLevel="0" collapsed="false">
      <c r="A10" s="25" t="s">
        <v>129</v>
      </c>
      <c r="B10" s="26" t="s">
        <v>53</v>
      </c>
      <c r="C10" s="26" t="s">
        <v>130</v>
      </c>
      <c r="D10" s="27" t="s">
        <v>52</v>
      </c>
      <c r="E10" s="28" t="s">
        <v>113</v>
      </c>
      <c r="F10" s="26" t="s">
        <v>131</v>
      </c>
      <c r="G10" s="29" t="s">
        <v>20</v>
      </c>
      <c r="H10" s="30" t="s">
        <v>56</v>
      </c>
      <c r="I10" s="30" t="s">
        <v>121</v>
      </c>
      <c r="J10" s="30" t="s">
        <v>117</v>
      </c>
      <c r="K10" s="30" t="s">
        <v>116</v>
      </c>
      <c r="L10" s="26"/>
    </row>
    <row r="11" customFormat="false" ht="15" hidden="false" customHeight="false" outlineLevel="0" collapsed="false">
      <c r="A11" s="19" t="s">
        <v>132</v>
      </c>
      <c r="B11" s="20" t="s">
        <v>53</v>
      </c>
      <c r="C11" s="20" t="s">
        <v>133</v>
      </c>
      <c r="D11" s="21" t="s">
        <v>52</v>
      </c>
      <c r="E11" s="22" t="s">
        <v>113</v>
      </c>
      <c r="F11" s="20" t="s">
        <v>134</v>
      </c>
      <c r="G11" s="23" t="s">
        <v>20</v>
      </c>
      <c r="H11" s="24" t="s">
        <v>115</v>
      </c>
      <c r="I11" s="24" t="s">
        <v>121</v>
      </c>
      <c r="J11" s="24" t="s">
        <v>117</v>
      </c>
      <c r="K11" s="24" t="s">
        <v>116</v>
      </c>
      <c r="L11" s="20"/>
    </row>
    <row r="12" customFormat="false" ht="15" hidden="false" customHeight="false" outlineLevel="0" collapsed="false">
      <c r="A12" s="25" t="s">
        <v>135</v>
      </c>
      <c r="B12" s="26" t="s">
        <v>136</v>
      </c>
      <c r="C12" s="26" t="s">
        <v>137</v>
      </c>
      <c r="D12" s="27" t="s">
        <v>52</v>
      </c>
      <c r="E12" s="28" t="s">
        <v>113</v>
      </c>
      <c r="F12" s="26" t="s">
        <v>120</v>
      </c>
      <c r="G12" s="29" t="s">
        <v>20</v>
      </c>
      <c r="H12" s="30" t="s">
        <v>56</v>
      </c>
      <c r="I12" s="30" t="s">
        <v>121</v>
      </c>
      <c r="J12" s="30" t="s">
        <v>117</v>
      </c>
      <c r="K12" s="30" t="s">
        <v>116</v>
      </c>
      <c r="L12" s="26"/>
    </row>
    <row r="13" customFormat="false" ht="15" hidden="false" customHeight="false" outlineLevel="0" collapsed="false">
      <c r="A13" s="19" t="s">
        <v>138</v>
      </c>
      <c r="B13" s="20" t="s">
        <v>136</v>
      </c>
      <c r="C13" s="20" t="s">
        <v>139</v>
      </c>
      <c r="D13" s="21" t="s">
        <v>52</v>
      </c>
      <c r="E13" s="22" t="s">
        <v>113</v>
      </c>
      <c r="F13" s="20" t="s">
        <v>128</v>
      </c>
      <c r="G13" s="23" t="s">
        <v>20</v>
      </c>
      <c r="H13" s="24" t="s">
        <v>115</v>
      </c>
      <c r="I13" s="24" t="s">
        <v>121</v>
      </c>
      <c r="J13" s="24" t="s">
        <v>117</v>
      </c>
      <c r="K13" s="24" t="s">
        <v>116</v>
      </c>
      <c r="L13" s="20"/>
    </row>
    <row r="14" customFormat="false" ht="15" hidden="false" customHeight="false" outlineLevel="0" collapsed="false">
      <c r="A14" s="25" t="s">
        <v>140</v>
      </c>
      <c r="B14" s="26" t="s">
        <v>141</v>
      </c>
      <c r="C14" s="26" t="s">
        <v>142</v>
      </c>
      <c r="D14" s="27" t="s">
        <v>52</v>
      </c>
      <c r="E14" s="28" t="s">
        <v>113</v>
      </c>
      <c r="F14" s="26" t="s">
        <v>120</v>
      </c>
      <c r="G14" s="29" t="s">
        <v>20</v>
      </c>
      <c r="H14" s="30" t="s">
        <v>56</v>
      </c>
      <c r="I14" s="30" t="s">
        <v>121</v>
      </c>
      <c r="J14" s="30" t="s">
        <v>117</v>
      </c>
      <c r="K14" s="30" t="s">
        <v>116</v>
      </c>
      <c r="L14" s="26"/>
    </row>
    <row r="15" customFormat="false" ht="15" hidden="false" customHeight="false" outlineLevel="0" collapsed="false">
      <c r="A15" s="19" t="s">
        <v>143</v>
      </c>
      <c r="B15" s="20" t="s">
        <v>144</v>
      </c>
      <c r="C15" s="20" t="s">
        <v>145</v>
      </c>
      <c r="D15" s="21" t="s">
        <v>60</v>
      </c>
      <c r="E15" s="22" t="s">
        <v>113</v>
      </c>
      <c r="F15" s="20" t="s">
        <v>120</v>
      </c>
      <c r="G15" s="23" t="s">
        <v>20</v>
      </c>
      <c r="H15" s="24" t="s">
        <v>56</v>
      </c>
      <c r="I15" s="24" t="s">
        <v>121</v>
      </c>
      <c r="J15" s="24" t="s">
        <v>117</v>
      </c>
      <c r="K15" s="24" t="s">
        <v>116</v>
      </c>
      <c r="L15" s="20"/>
    </row>
    <row r="16" customFormat="false" ht="15" hidden="false" customHeight="false" outlineLevel="0" collapsed="false">
      <c r="A16" s="25" t="s">
        <v>146</v>
      </c>
      <c r="B16" s="26" t="s">
        <v>144</v>
      </c>
      <c r="C16" s="26" t="s">
        <v>147</v>
      </c>
      <c r="D16" s="27" t="s">
        <v>60</v>
      </c>
      <c r="E16" s="28" t="s">
        <v>113</v>
      </c>
      <c r="F16" s="26" t="s">
        <v>120</v>
      </c>
      <c r="G16" s="29" t="s">
        <v>20</v>
      </c>
      <c r="H16" s="30" t="s">
        <v>115</v>
      </c>
      <c r="I16" s="30" t="s">
        <v>121</v>
      </c>
      <c r="J16" s="30" t="s">
        <v>117</v>
      </c>
      <c r="K16" s="30" t="s">
        <v>116</v>
      </c>
      <c r="L16" s="26"/>
    </row>
    <row r="17" customFormat="false" ht="15" hidden="false" customHeight="false" outlineLevel="0" collapsed="false">
      <c r="A17" s="19" t="s">
        <v>148</v>
      </c>
      <c r="B17" s="20" t="s">
        <v>144</v>
      </c>
      <c r="C17" s="20" t="s">
        <v>149</v>
      </c>
      <c r="D17" s="21" t="s">
        <v>60</v>
      </c>
      <c r="E17" s="22" t="s">
        <v>113</v>
      </c>
      <c r="F17" s="20" t="s">
        <v>120</v>
      </c>
      <c r="G17" s="23" t="s">
        <v>26</v>
      </c>
      <c r="H17" s="24" t="s">
        <v>115</v>
      </c>
      <c r="I17" s="24" t="s">
        <v>121</v>
      </c>
      <c r="J17" s="24" t="s">
        <v>117</v>
      </c>
      <c r="K17" s="24" t="s">
        <v>116</v>
      </c>
      <c r="L17" s="20"/>
    </row>
    <row r="18" customFormat="false" ht="15" hidden="false" customHeight="false" outlineLevel="0" collapsed="false">
      <c r="A18" s="25" t="s">
        <v>150</v>
      </c>
      <c r="B18" s="26" t="s">
        <v>144</v>
      </c>
      <c r="C18" s="26" t="s">
        <v>151</v>
      </c>
      <c r="D18" s="27" t="s">
        <v>60</v>
      </c>
      <c r="E18" s="28" t="s">
        <v>113</v>
      </c>
      <c r="F18" s="26" t="s">
        <v>120</v>
      </c>
      <c r="G18" s="29" t="s">
        <v>20</v>
      </c>
      <c r="H18" s="30" t="s">
        <v>115</v>
      </c>
      <c r="I18" s="30" t="s">
        <v>121</v>
      </c>
      <c r="J18" s="30" t="s">
        <v>117</v>
      </c>
      <c r="K18" s="30" t="s">
        <v>116</v>
      </c>
      <c r="L18" s="26"/>
    </row>
    <row r="19" customFormat="false" ht="15" hidden="false" customHeight="false" outlineLevel="0" collapsed="false">
      <c r="A19" s="19" t="s">
        <v>152</v>
      </c>
      <c r="B19" s="20" t="s">
        <v>144</v>
      </c>
      <c r="C19" s="20" t="s">
        <v>153</v>
      </c>
      <c r="D19" s="21" t="s">
        <v>60</v>
      </c>
      <c r="E19" s="22" t="s">
        <v>113</v>
      </c>
      <c r="F19" s="20" t="s">
        <v>154</v>
      </c>
      <c r="G19" s="23" t="s">
        <v>20</v>
      </c>
      <c r="H19" s="24" t="s">
        <v>115</v>
      </c>
      <c r="I19" s="24" t="s">
        <v>116</v>
      </c>
      <c r="J19" s="24" t="s">
        <v>117</v>
      </c>
      <c r="K19" s="24" t="s">
        <v>116</v>
      </c>
      <c r="L19" s="20"/>
    </row>
    <row r="20" customFormat="false" ht="15" hidden="false" customHeight="false" outlineLevel="0" collapsed="false">
      <c r="A20" s="25" t="s">
        <v>155</v>
      </c>
      <c r="B20" s="26" t="s">
        <v>144</v>
      </c>
      <c r="C20" s="26" t="s">
        <v>156</v>
      </c>
      <c r="D20" s="27" t="s">
        <v>60</v>
      </c>
      <c r="E20" s="28" t="s">
        <v>113</v>
      </c>
      <c r="F20" s="26" t="s">
        <v>120</v>
      </c>
      <c r="G20" s="29" t="s">
        <v>20</v>
      </c>
      <c r="H20" s="30" t="s">
        <v>115</v>
      </c>
      <c r="I20" s="30" t="s">
        <v>121</v>
      </c>
      <c r="J20" s="30" t="s">
        <v>117</v>
      </c>
      <c r="K20" s="30" t="s">
        <v>116</v>
      </c>
      <c r="L20" s="26"/>
    </row>
    <row r="21" customFormat="false" ht="15" hidden="false" customHeight="false" outlineLevel="0" collapsed="false">
      <c r="A21" s="19" t="s">
        <v>157</v>
      </c>
      <c r="B21" s="20" t="s">
        <v>158</v>
      </c>
      <c r="C21" s="20" t="s">
        <v>159</v>
      </c>
      <c r="D21" s="21" t="s">
        <v>60</v>
      </c>
      <c r="E21" s="22" t="s">
        <v>113</v>
      </c>
      <c r="F21" s="20" t="s">
        <v>120</v>
      </c>
      <c r="G21" s="23" t="s">
        <v>24</v>
      </c>
      <c r="H21" s="24" t="s">
        <v>56</v>
      </c>
      <c r="I21" s="24" t="s">
        <v>121</v>
      </c>
      <c r="J21" s="24" t="s">
        <v>117</v>
      </c>
      <c r="K21" s="24" t="s">
        <v>116</v>
      </c>
      <c r="L21" s="20"/>
    </row>
    <row r="22" customFormat="false" ht="15" hidden="false" customHeight="false" outlineLevel="0" collapsed="false">
      <c r="A22" s="25" t="s">
        <v>160</v>
      </c>
      <c r="B22" s="26" t="s">
        <v>158</v>
      </c>
      <c r="C22" s="26" t="s">
        <v>161</v>
      </c>
      <c r="D22" s="27" t="s">
        <v>60</v>
      </c>
      <c r="E22" s="28" t="s">
        <v>113</v>
      </c>
      <c r="F22" s="26" t="s">
        <v>120</v>
      </c>
      <c r="G22" s="29" t="s">
        <v>26</v>
      </c>
      <c r="H22" s="30" t="s">
        <v>115</v>
      </c>
      <c r="I22" s="30" t="s">
        <v>121</v>
      </c>
      <c r="J22" s="30" t="s">
        <v>117</v>
      </c>
      <c r="K22" s="30" t="s">
        <v>116</v>
      </c>
      <c r="L22" s="26"/>
    </row>
    <row r="23" customFormat="false" ht="15" hidden="false" customHeight="false" outlineLevel="0" collapsed="false">
      <c r="A23" s="19" t="s">
        <v>162</v>
      </c>
      <c r="B23" s="20" t="s">
        <v>158</v>
      </c>
      <c r="C23" s="20" t="s">
        <v>163</v>
      </c>
      <c r="D23" s="21" t="s">
        <v>60</v>
      </c>
      <c r="E23" s="22" t="s">
        <v>113</v>
      </c>
      <c r="F23" s="20" t="s">
        <v>120</v>
      </c>
      <c r="G23" s="23" t="s">
        <v>20</v>
      </c>
      <c r="H23" s="24" t="s">
        <v>56</v>
      </c>
      <c r="I23" s="24" t="s">
        <v>121</v>
      </c>
      <c r="J23" s="24" t="s">
        <v>117</v>
      </c>
      <c r="K23" s="24" t="s">
        <v>116</v>
      </c>
      <c r="L23" s="20"/>
    </row>
    <row r="24" customFormat="false" ht="15" hidden="false" customHeight="false" outlineLevel="0" collapsed="false">
      <c r="A24" s="25" t="s">
        <v>164</v>
      </c>
      <c r="B24" s="26" t="s">
        <v>165</v>
      </c>
      <c r="C24" s="26" t="s">
        <v>166</v>
      </c>
      <c r="D24" s="27" t="s">
        <v>60</v>
      </c>
      <c r="E24" s="28" t="s">
        <v>113</v>
      </c>
      <c r="F24" s="26" t="s">
        <v>120</v>
      </c>
      <c r="G24" s="29" t="s">
        <v>24</v>
      </c>
      <c r="H24" s="30" t="s">
        <v>56</v>
      </c>
      <c r="I24" s="30" t="s">
        <v>121</v>
      </c>
      <c r="J24" s="30" t="s">
        <v>117</v>
      </c>
      <c r="K24" s="30" t="s">
        <v>116</v>
      </c>
      <c r="L24" s="26"/>
    </row>
    <row r="25" customFormat="false" ht="15" hidden="false" customHeight="false" outlineLevel="0" collapsed="false">
      <c r="A25" s="19" t="s">
        <v>167</v>
      </c>
      <c r="B25" s="20" t="s">
        <v>165</v>
      </c>
      <c r="C25" s="20" t="s">
        <v>168</v>
      </c>
      <c r="D25" s="21" t="s">
        <v>60</v>
      </c>
      <c r="E25" s="22" t="s">
        <v>113</v>
      </c>
      <c r="F25" s="20" t="s">
        <v>120</v>
      </c>
      <c r="G25" s="23" t="s">
        <v>24</v>
      </c>
      <c r="H25" s="24" t="s">
        <v>115</v>
      </c>
      <c r="I25" s="24" t="s">
        <v>121</v>
      </c>
      <c r="J25" s="24" t="s">
        <v>117</v>
      </c>
      <c r="K25" s="24" t="s">
        <v>116</v>
      </c>
      <c r="L25" s="20"/>
    </row>
    <row r="26" customFormat="false" ht="15" hidden="false" customHeight="false" outlineLevel="0" collapsed="false">
      <c r="A26" s="25" t="s">
        <v>169</v>
      </c>
      <c r="B26" s="26" t="s">
        <v>165</v>
      </c>
      <c r="C26" s="26" t="s">
        <v>170</v>
      </c>
      <c r="D26" s="27" t="s">
        <v>60</v>
      </c>
      <c r="E26" s="28" t="s">
        <v>113</v>
      </c>
      <c r="F26" s="26" t="s">
        <v>120</v>
      </c>
      <c r="G26" s="29" t="s">
        <v>26</v>
      </c>
      <c r="H26" s="30" t="s">
        <v>115</v>
      </c>
      <c r="I26" s="30" t="s">
        <v>121</v>
      </c>
      <c r="J26" s="30" t="s">
        <v>117</v>
      </c>
      <c r="K26" s="30" t="s">
        <v>116</v>
      </c>
      <c r="L26" s="26"/>
    </row>
    <row r="27" customFormat="false" ht="15" hidden="false" customHeight="false" outlineLevel="0" collapsed="false">
      <c r="A27" s="19" t="s">
        <v>171</v>
      </c>
      <c r="B27" s="20" t="s">
        <v>172</v>
      </c>
      <c r="C27" s="20" t="s">
        <v>173</v>
      </c>
      <c r="D27" s="21" t="s">
        <v>60</v>
      </c>
      <c r="E27" s="22" t="s">
        <v>113</v>
      </c>
      <c r="F27" s="20" t="s">
        <v>120</v>
      </c>
      <c r="G27" s="23" t="s">
        <v>30</v>
      </c>
      <c r="H27" s="24" t="s">
        <v>56</v>
      </c>
      <c r="I27" s="24" t="s">
        <v>121</v>
      </c>
      <c r="J27" s="24" t="s">
        <v>117</v>
      </c>
      <c r="K27" s="24" t="s">
        <v>116</v>
      </c>
      <c r="L27" s="20"/>
    </row>
    <row r="28" customFormat="false" ht="15" hidden="false" customHeight="false" outlineLevel="0" collapsed="false">
      <c r="A28" s="25" t="s">
        <v>174</v>
      </c>
      <c r="B28" s="26" t="s">
        <v>172</v>
      </c>
      <c r="C28" s="26" t="s">
        <v>175</v>
      </c>
      <c r="D28" s="27" t="s">
        <v>60</v>
      </c>
      <c r="E28" s="28" t="s">
        <v>113</v>
      </c>
      <c r="F28" s="26" t="s">
        <v>176</v>
      </c>
      <c r="G28" s="29" t="s">
        <v>26</v>
      </c>
      <c r="H28" s="30" t="s">
        <v>115</v>
      </c>
      <c r="I28" s="30" t="s">
        <v>116</v>
      </c>
      <c r="J28" s="30" t="s">
        <v>117</v>
      </c>
      <c r="K28" s="30" t="s">
        <v>116</v>
      </c>
      <c r="L28" s="26"/>
    </row>
    <row r="29" customFormat="false" ht="15" hidden="false" customHeight="false" outlineLevel="0" collapsed="false">
      <c r="A29" s="19" t="s">
        <v>177</v>
      </c>
      <c r="B29" s="20" t="s">
        <v>172</v>
      </c>
      <c r="C29" s="20" t="s">
        <v>178</v>
      </c>
      <c r="D29" s="21" t="s">
        <v>60</v>
      </c>
      <c r="E29" s="22" t="s">
        <v>113</v>
      </c>
      <c r="F29" s="20" t="s">
        <v>120</v>
      </c>
      <c r="G29" s="23" t="s">
        <v>26</v>
      </c>
      <c r="H29" s="24" t="s">
        <v>115</v>
      </c>
      <c r="I29" s="24" t="s">
        <v>121</v>
      </c>
      <c r="J29" s="24" t="s">
        <v>117</v>
      </c>
      <c r="K29" s="24" t="s">
        <v>116</v>
      </c>
      <c r="L29" s="20"/>
    </row>
    <row r="30" customFormat="false" ht="15" hidden="false" customHeight="false" outlineLevel="0" collapsed="false">
      <c r="A30" s="25" t="s">
        <v>179</v>
      </c>
      <c r="B30" s="26" t="s">
        <v>172</v>
      </c>
      <c r="C30" s="26" t="s">
        <v>180</v>
      </c>
      <c r="D30" s="27" t="s">
        <v>60</v>
      </c>
      <c r="E30" s="28" t="s">
        <v>113</v>
      </c>
      <c r="F30" s="26" t="s">
        <v>120</v>
      </c>
      <c r="G30" s="29" t="s">
        <v>30</v>
      </c>
      <c r="H30" s="30" t="s">
        <v>56</v>
      </c>
      <c r="I30" s="30" t="s">
        <v>121</v>
      </c>
      <c r="J30" s="30" t="s">
        <v>117</v>
      </c>
      <c r="K30" s="30" t="s">
        <v>116</v>
      </c>
      <c r="L30" s="26"/>
    </row>
    <row r="31" customFormat="false" ht="15" hidden="false" customHeight="false" outlineLevel="0" collapsed="false">
      <c r="A31" s="19" t="s">
        <v>181</v>
      </c>
      <c r="B31" s="20" t="s">
        <v>172</v>
      </c>
      <c r="C31" s="20" t="s">
        <v>182</v>
      </c>
      <c r="D31" s="21" t="s">
        <v>60</v>
      </c>
      <c r="E31" s="22" t="s">
        <v>113</v>
      </c>
      <c r="F31" s="20" t="s">
        <v>154</v>
      </c>
      <c r="G31" s="23" t="s">
        <v>30</v>
      </c>
      <c r="H31" s="24" t="s">
        <v>183</v>
      </c>
      <c r="I31" s="24" t="s">
        <v>116</v>
      </c>
      <c r="J31" s="24" t="s">
        <v>117</v>
      </c>
      <c r="K31" s="24" t="s">
        <v>116</v>
      </c>
      <c r="L31" s="20"/>
    </row>
    <row r="32" customFormat="false" ht="15" hidden="false" customHeight="false" outlineLevel="0" collapsed="false">
      <c r="A32" s="25" t="s">
        <v>184</v>
      </c>
      <c r="B32" s="26" t="s">
        <v>185</v>
      </c>
      <c r="C32" s="26" t="s">
        <v>186</v>
      </c>
      <c r="D32" s="27" t="s">
        <v>60</v>
      </c>
      <c r="E32" s="28" t="s">
        <v>113</v>
      </c>
      <c r="F32" s="26" t="s">
        <v>120</v>
      </c>
      <c r="G32" s="29" t="s">
        <v>22</v>
      </c>
      <c r="H32" s="30" t="s">
        <v>56</v>
      </c>
      <c r="I32" s="30" t="s">
        <v>121</v>
      </c>
      <c r="J32" s="30" t="s">
        <v>117</v>
      </c>
      <c r="K32" s="30" t="s">
        <v>116</v>
      </c>
      <c r="L32" s="26"/>
    </row>
    <row r="33" customFormat="false" ht="15" hidden="false" customHeight="false" outlineLevel="0" collapsed="false">
      <c r="A33" s="19" t="s">
        <v>187</v>
      </c>
      <c r="B33" s="20" t="s">
        <v>185</v>
      </c>
      <c r="C33" s="20" t="s">
        <v>188</v>
      </c>
      <c r="D33" s="21" t="s">
        <v>60</v>
      </c>
      <c r="E33" s="22" t="s">
        <v>113</v>
      </c>
      <c r="F33" s="20" t="s">
        <v>120</v>
      </c>
      <c r="G33" s="23" t="s">
        <v>22</v>
      </c>
      <c r="H33" s="24" t="s">
        <v>115</v>
      </c>
      <c r="I33" s="24" t="s">
        <v>121</v>
      </c>
      <c r="J33" s="24" t="s">
        <v>117</v>
      </c>
      <c r="K33" s="24" t="s">
        <v>116</v>
      </c>
      <c r="L33" s="20"/>
    </row>
    <row r="34" customFormat="false" ht="15" hidden="false" customHeight="false" outlineLevel="0" collapsed="false">
      <c r="A34" s="25" t="s">
        <v>189</v>
      </c>
      <c r="B34" s="26" t="s">
        <v>190</v>
      </c>
      <c r="C34" s="26" t="s">
        <v>191</v>
      </c>
      <c r="D34" s="27" t="s">
        <v>60</v>
      </c>
      <c r="E34" s="28" t="s">
        <v>113</v>
      </c>
      <c r="F34" s="26" t="s">
        <v>120</v>
      </c>
      <c r="G34" s="29" t="s">
        <v>20</v>
      </c>
      <c r="H34" s="30" t="s">
        <v>56</v>
      </c>
      <c r="I34" s="30" t="s">
        <v>121</v>
      </c>
      <c r="J34" s="30" t="s">
        <v>117</v>
      </c>
      <c r="K34" s="30" t="s">
        <v>116</v>
      </c>
      <c r="L34" s="26"/>
    </row>
    <row r="35" customFormat="false" ht="15" hidden="false" customHeight="false" outlineLevel="0" collapsed="false">
      <c r="A35" s="19" t="s">
        <v>192</v>
      </c>
      <c r="B35" s="20" t="s">
        <v>190</v>
      </c>
      <c r="C35" s="20" t="s">
        <v>193</v>
      </c>
      <c r="D35" s="21" t="s">
        <v>60</v>
      </c>
      <c r="E35" s="22" t="s">
        <v>113</v>
      </c>
      <c r="F35" s="20" t="s">
        <v>120</v>
      </c>
      <c r="G35" s="23" t="s">
        <v>20</v>
      </c>
      <c r="H35" s="24" t="s">
        <v>56</v>
      </c>
      <c r="I35" s="24" t="s">
        <v>121</v>
      </c>
      <c r="J35" s="24" t="s">
        <v>117</v>
      </c>
      <c r="K35" s="24" t="s">
        <v>116</v>
      </c>
      <c r="L35" s="20"/>
    </row>
    <row r="36" customFormat="false" ht="15" hidden="false" customHeight="false" outlineLevel="0" collapsed="false">
      <c r="A36" s="25" t="s">
        <v>194</v>
      </c>
      <c r="B36" s="26" t="s">
        <v>195</v>
      </c>
      <c r="C36" s="26" t="s">
        <v>196</v>
      </c>
      <c r="D36" s="27" t="s">
        <v>60</v>
      </c>
      <c r="E36" s="28" t="s">
        <v>113</v>
      </c>
      <c r="F36" s="26" t="s">
        <v>120</v>
      </c>
      <c r="G36" s="29" t="s">
        <v>26</v>
      </c>
      <c r="H36" s="30" t="s">
        <v>56</v>
      </c>
      <c r="I36" s="30" t="s">
        <v>121</v>
      </c>
      <c r="J36" s="30" t="s">
        <v>117</v>
      </c>
      <c r="K36" s="30" t="s">
        <v>116</v>
      </c>
      <c r="L36" s="26"/>
    </row>
    <row r="37" customFormat="false" ht="15" hidden="false" customHeight="false" outlineLevel="0" collapsed="false">
      <c r="A37" s="19" t="s">
        <v>197</v>
      </c>
      <c r="B37" s="20" t="s">
        <v>195</v>
      </c>
      <c r="C37" s="20" t="s">
        <v>198</v>
      </c>
      <c r="D37" s="21" t="s">
        <v>60</v>
      </c>
      <c r="E37" s="22" t="s">
        <v>113</v>
      </c>
      <c r="F37" s="20" t="s">
        <v>120</v>
      </c>
      <c r="G37" s="23" t="s">
        <v>20</v>
      </c>
      <c r="H37" s="24" t="s">
        <v>56</v>
      </c>
      <c r="I37" s="24" t="s">
        <v>121</v>
      </c>
      <c r="J37" s="24" t="s">
        <v>117</v>
      </c>
      <c r="K37" s="24" t="s">
        <v>116</v>
      </c>
      <c r="L37" s="20"/>
    </row>
    <row r="38" customFormat="false" ht="15" hidden="false" customHeight="false" outlineLevel="0" collapsed="false">
      <c r="A38" s="25" t="s">
        <v>199</v>
      </c>
      <c r="B38" s="26" t="s">
        <v>195</v>
      </c>
      <c r="C38" s="26" t="s">
        <v>200</v>
      </c>
      <c r="D38" s="27" t="s">
        <v>60</v>
      </c>
      <c r="E38" s="28" t="s">
        <v>113</v>
      </c>
      <c r="F38" s="26" t="s">
        <v>120</v>
      </c>
      <c r="G38" s="29" t="s">
        <v>26</v>
      </c>
      <c r="H38" s="30" t="s">
        <v>115</v>
      </c>
      <c r="I38" s="30" t="s">
        <v>121</v>
      </c>
      <c r="J38" s="30" t="s">
        <v>117</v>
      </c>
      <c r="K38" s="30" t="s">
        <v>116</v>
      </c>
      <c r="L38" s="26"/>
    </row>
    <row r="39" customFormat="false" ht="15" hidden="false" customHeight="false" outlineLevel="0" collapsed="false">
      <c r="A39" s="19" t="s">
        <v>201</v>
      </c>
      <c r="B39" s="20" t="s">
        <v>195</v>
      </c>
      <c r="C39" s="20" t="s">
        <v>202</v>
      </c>
      <c r="D39" s="21" t="s">
        <v>60</v>
      </c>
      <c r="E39" s="22" t="s">
        <v>113</v>
      </c>
      <c r="F39" s="20" t="s">
        <v>120</v>
      </c>
      <c r="G39" s="23" t="s">
        <v>26</v>
      </c>
      <c r="H39" s="24" t="s">
        <v>56</v>
      </c>
      <c r="I39" s="24" t="s">
        <v>121</v>
      </c>
      <c r="J39" s="24" t="s">
        <v>117</v>
      </c>
      <c r="K39" s="24" t="s">
        <v>116</v>
      </c>
      <c r="L39" s="20"/>
    </row>
    <row r="40" customFormat="false" ht="15" hidden="false" customHeight="false" outlineLevel="0" collapsed="false">
      <c r="A40" s="25" t="s">
        <v>203</v>
      </c>
      <c r="B40" s="26" t="s">
        <v>204</v>
      </c>
      <c r="C40" s="26" t="s">
        <v>205</v>
      </c>
      <c r="D40" s="27" t="s">
        <v>60</v>
      </c>
      <c r="E40" s="28" t="s">
        <v>113</v>
      </c>
      <c r="F40" s="26" t="s">
        <v>120</v>
      </c>
      <c r="G40" s="29" t="s">
        <v>26</v>
      </c>
      <c r="H40" s="30" t="s">
        <v>56</v>
      </c>
      <c r="I40" s="30" t="s">
        <v>121</v>
      </c>
      <c r="J40" s="30" t="s">
        <v>117</v>
      </c>
      <c r="K40" s="30" t="s">
        <v>116</v>
      </c>
      <c r="L40" s="26"/>
    </row>
    <row r="41" customFormat="false" ht="15" hidden="false" customHeight="false" outlineLevel="0" collapsed="false">
      <c r="A41" s="19" t="s">
        <v>206</v>
      </c>
      <c r="B41" s="20" t="s">
        <v>204</v>
      </c>
      <c r="C41" s="20" t="s">
        <v>207</v>
      </c>
      <c r="D41" s="21" t="s">
        <v>60</v>
      </c>
      <c r="E41" s="22" t="s">
        <v>113</v>
      </c>
      <c r="F41" s="20" t="s">
        <v>208</v>
      </c>
      <c r="G41" s="23" t="s">
        <v>26</v>
      </c>
      <c r="H41" s="24" t="s">
        <v>56</v>
      </c>
      <c r="I41" s="24" t="s">
        <v>121</v>
      </c>
      <c r="J41" s="24" t="s">
        <v>117</v>
      </c>
      <c r="K41" s="24" t="s">
        <v>116</v>
      </c>
      <c r="L41" s="20"/>
    </row>
    <row r="42" customFormat="false" ht="15" hidden="false" customHeight="false" outlineLevel="0" collapsed="false">
      <c r="A42" s="25" t="s">
        <v>209</v>
      </c>
      <c r="B42" s="26" t="s">
        <v>204</v>
      </c>
      <c r="C42" s="26" t="s">
        <v>210</v>
      </c>
      <c r="D42" s="27" t="s">
        <v>60</v>
      </c>
      <c r="E42" s="28" t="s">
        <v>113</v>
      </c>
      <c r="F42" s="26" t="s">
        <v>120</v>
      </c>
      <c r="G42" s="29" t="s">
        <v>24</v>
      </c>
      <c r="H42" s="30" t="s">
        <v>115</v>
      </c>
      <c r="I42" s="30" t="s">
        <v>121</v>
      </c>
      <c r="J42" s="30" t="s">
        <v>117</v>
      </c>
      <c r="K42" s="30" t="s">
        <v>116</v>
      </c>
      <c r="L42" s="26"/>
    </row>
    <row r="43" customFormat="false" ht="15" hidden="false" customHeight="false" outlineLevel="0" collapsed="false">
      <c r="A43" s="19" t="s">
        <v>211</v>
      </c>
      <c r="B43" s="20" t="s">
        <v>136</v>
      </c>
      <c r="C43" s="20" t="s">
        <v>212</v>
      </c>
      <c r="D43" s="21" t="s">
        <v>60</v>
      </c>
      <c r="E43" s="22" t="s">
        <v>113</v>
      </c>
      <c r="F43" s="20" t="s">
        <v>120</v>
      </c>
      <c r="G43" s="23" t="s">
        <v>20</v>
      </c>
      <c r="H43" s="24" t="s">
        <v>56</v>
      </c>
      <c r="I43" s="24" t="s">
        <v>121</v>
      </c>
      <c r="J43" s="24" t="s">
        <v>117</v>
      </c>
      <c r="K43" s="24" t="s">
        <v>116</v>
      </c>
      <c r="L43" s="20"/>
    </row>
    <row r="44" customFormat="false" ht="15" hidden="false" customHeight="false" outlineLevel="0" collapsed="false">
      <c r="A44" s="25" t="s">
        <v>213</v>
      </c>
      <c r="B44" s="26" t="s">
        <v>176</v>
      </c>
      <c r="C44" s="26" t="s">
        <v>214</v>
      </c>
      <c r="D44" s="27" t="s">
        <v>60</v>
      </c>
      <c r="E44" s="28" t="s">
        <v>113</v>
      </c>
      <c r="F44" s="26" t="s">
        <v>176</v>
      </c>
      <c r="G44" s="29" t="s">
        <v>20</v>
      </c>
      <c r="H44" s="30" t="s">
        <v>56</v>
      </c>
      <c r="I44" s="30" t="s">
        <v>121</v>
      </c>
      <c r="J44" s="30" t="s">
        <v>117</v>
      </c>
      <c r="K44" s="30" t="s">
        <v>116</v>
      </c>
      <c r="L44" s="26"/>
    </row>
    <row r="45" customFormat="false" ht="15" hidden="false" customHeight="false" outlineLevel="0" collapsed="false">
      <c r="A45" s="19" t="s">
        <v>215</v>
      </c>
      <c r="B45" s="20" t="s">
        <v>176</v>
      </c>
      <c r="C45" s="20" t="s">
        <v>216</v>
      </c>
      <c r="D45" s="21" t="s">
        <v>60</v>
      </c>
      <c r="E45" s="22" t="s">
        <v>113</v>
      </c>
      <c r="F45" s="20" t="s">
        <v>176</v>
      </c>
      <c r="G45" s="23" t="s">
        <v>26</v>
      </c>
      <c r="H45" s="24" t="s">
        <v>115</v>
      </c>
      <c r="I45" s="24" t="s">
        <v>116</v>
      </c>
      <c r="J45" s="24" t="s">
        <v>117</v>
      </c>
      <c r="K45" s="24" t="s">
        <v>116</v>
      </c>
      <c r="L45" s="20"/>
    </row>
    <row r="46" customFormat="false" ht="15" hidden="false" customHeight="false" outlineLevel="0" collapsed="false">
      <c r="A46" s="25" t="s">
        <v>217</v>
      </c>
      <c r="B46" s="26" t="s">
        <v>176</v>
      </c>
      <c r="C46" s="26" t="s">
        <v>218</v>
      </c>
      <c r="D46" s="27" t="s">
        <v>60</v>
      </c>
      <c r="E46" s="28" t="s">
        <v>113</v>
      </c>
      <c r="F46" s="26" t="s">
        <v>176</v>
      </c>
      <c r="G46" s="29" t="s">
        <v>26</v>
      </c>
      <c r="H46" s="30" t="s">
        <v>115</v>
      </c>
      <c r="I46" s="30" t="s">
        <v>116</v>
      </c>
      <c r="J46" s="30" t="s">
        <v>117</v>
      </c>
      <c r="K46" s="30" t="s">
        <v>116</v>
      </c>
      <c r="L46" s="26"/>
    </row>
    <row r="47" customFormat="false" ht="15" hidden="false" customHeight="false" outlineLevel="0" collapsed="false">
      <c r="A47" s="19" t="s">
        <v>219</v>
      </c>
      <c r="B47" s="20" t="s">
        <v>176</v>
      </c>
      <c r="C47" s="20" t="s">
        <v>220</v>
      </c>
      <c r="D47" s="21" t="s">
        <v>60</v>
      </c>
      <c r="E47" s="22" t="s">
        <v>113</v>
      </c>
      <c r="F47" s="20" t="s">
        <v>176</v>
      </c>
      <c r="G47" s="23" t="s">
        <v>20</v>
      </c>
      <c r="H47" s="24" t="s">
        <v>56</v>
      </c>
      <c r="I47" s="24" t="s">
        <v>121</v>
      </c>
      <c r="J47" s="24" t="s">
        <v>117</v>
      </c>
      <c r="K47" s="24" t="s">
        <v>116</v>
      </c>
      <c r="L47" s="20"/>
    </row>
    <row r="48" customFormat="false" ht="15" hidden="false" customHeight="false" outlineLevel="0" collapsed="false">
      <c r="A48" s="25" t="s">
        <v>221</v>
      </c>
      <c r="B48" s="26" t="s">
        <v>222</v>
      </c>
      <c r="C48" s="26" t="s">
        <v>223</v>
      </c>
      <c r="D48" s="27" t="s">
        <v>60</v>
      </c>
      <c r="E48" s="28" t="s">
        <v>113</v>
      </c>
      <c r="F48" s="26" t="s">
        <v>176</v>
      </c>
      <c r="G48" s="29" t="s">
        <v>20</v>
      </c>
      <c r="H48" s="30" t="s">
        <v>115</v>
      </c>
      <c r="I48" s="30" t="s">
        <v>116</v>
      </c>
      <c r="J48" s="30" t="s">
        <v>117</v>
      </c>
      <c r="K48" s="30" t="s">
        <v>116</v>
      </c>
      <c r="L48" s="26"/>
    </row>
    <row r="49" customFormat="false" ht="15" hidden="false" customHeight="false" outlineLevel="0" collapsed="false">
      <c r="A49" s="19" t="s">
        <v>224</v>
      </c>
      <c r="B49" s="20" t="s">
        <v>222</v>
      </c>
      <c r="C49" s="20" t="s">
        <v>225</v>
      </c>
      <c r="D49" s="21" t="s">
        <v>60</v>
      </c>
      <c r="E49" s="22" t="s">
        <v>113</v>
      </c>
      <c r="F49" s="20" t="s">
        <v>176</v>
      </c>
      <c r="G49" s="23" t="s">
        <v>20</v>
      </c>
      <c r="H49" s="24" t="s">
        <v>56</v>
      </c>
      <c r="I49" s="24" t="s">
        <v>121</v>
      </c>
      <c r="J49" s="24" t="s">
        <v>117</v>
      </c>
      <c r="K49" s="24" t="s">
        <v>116</v>
      </c>
      <c r="L49" s="20"/>
    </row>
    <row r="50" customFormat="false" ht="15" hidden="false" customHeight="false" outlineLevel="0" collapsed="false">
      <c r="A50" s="25" t="s">
        <v>226</v>
      </c>
      <c r="B50" s="26" t="s">
        <v>222</v>
      </c>
      <c r="C50" s="26" t="s">
        <v>227</v>
      </c>
      <c r="D50" s="27" t="s">
        <v>60</v>
      </c>
      <c r="E50" s="28" t="s">
        <v>113</v>
      </c>
      <c r="F50" s="26" t="s">
        <v>176</v>
      </c>
      <c r="G50" s="29" t="s">
        <v>20</v>
      </c>
      <c r="H50" s="30" t="s">
        <v>115</v>
      </c>
      <c r="I50" s="30" t="s">
        <v>121</v>
      </c>
      <c r="J50" s="30" t="s">
        <v>117</v>
      </c>
      <c r="K50" s="30" t="s">
        <v>116</v>
      </c>
      <c r="L50" s="26"/>
    </row>
    <row r="51" customFormat="false" ht="15" hidden="false" customHeight="false" outlineLevel="0" collapsed="false">
      <c r="A51" s="19" t="s">
        <v>228</v>
      </c>
      <c r="B51" s="20" t="s">
        <v>229</v>
      </c>
      <c r="C51" s="20" t="s">
        <v>230</v>
      </c>
      <c r="D51" s="21" t="s">
        <v>60</v>
      </c>
      <c r="E51" s="22" t="s">
        <v>113</v>
      </c>
      <c r="F51" s="20" t="s">
        <v>120</v>
      </c>
      <c r="G51" s="23" t="s">
        <v>20</v>
      </c>
      <c r="H51" s="24" t="s">
        <v>56</v>
      </c>
      <c r="I51" s="24" t="s">
        <v>116</v>
      </c>
      <c r="J51" s="24" t="s">
        <v>117</v>
      </c>
      <c r="K51" s="24" t="s">
        <v>116</v>
      </c>
      <c r="L51" s="20"/>
    </row>
    <row r="52" customFormat="false" ht="15" hidden="false" customHeight="false" outlineLevel="0" collapsed="false">
      <c r="A52" s="25" t="s">
        <v>231</v>
      </c>
      <c r="B52" s="26" t="s">
        <v>141</v>
      </c>
      <c r="C52" s="26" t="s">
        <v>232</v>
      </c>
      <c r="D52" s="27" t="s">
        <v>60</v>
      </c>
      <c r="E52" s="28" t="s">
        <v>113</v>
      </c>
      <c r="F52" s="26" t="s">
        <v>134</v>
      </c>
      <c r="G52" s="29" t="s">
        <v>20</v>
      </c>
      <c r="H52" s="30" t="s">
        <v>56</v>
      </c>
      <c r="I52" s="30" t="s">
        <v>121</v>
      </c>
      <c r="J52" s="30" t="s">
        <v>117</v>
      </c>
      <c r="K52" s="30" t="s">
        <v>116</v>
      </c>
      <c r="L52" s="26"/>
    </row>
    <row r="53" customFormat="false" ht="15" hidden="false" customHeight="false" outlineLevel="0" collapsed="false">
      <c r="A53" s="19" t="s">
        <v>233</v>
      </c>
      <c r="B53" s="20" t="s">
        <v>141</v>
      </c>
      <c r="C53" s="20" t="s">
        <v>234</v>
      </c>
      <c r="D53" s="21" t="s">
        <v>60</v>
      </c>
      <c r="E53" s="31" t="s">
        <v>235</v>
      </c>
      <c r="F53" s="20" t="s">
        <v>134</v>
      </c>
      <c r="G53" s="23" t="s">
        <v>20</v>
      </c>
      <c r="H53" s="24" t="s">
        <v>115</v>
      </c>
      <c r="I53" s="24" t="s">
        <v>121</v>
      </c>
      <c r="J53" s="24" t="s">
        <v>117</v>
      </c>
      <c r="K53" s="24" t="s">
        <v>116</v>
      </c>
      <c r="L53" s="20"/>
    </row>
    <row r="54" customFormat="false" ht="15" hidden="false" customHeight="false" outlineLevel="0" collapsed="false">
      <c r="A54" s="25" t="s">
        <v>236</v>
      </c>
      <c r="B54" s="26" t="s">
        <v>237</v>
      </c>
      <c r="C54" s="26" t="s">
        <v>238</v>
      </c>
      <c r="D54" s="27" t="s">
        <v>60</v>
      </c>
      <c r="E54" s="28" t="s">
        <v>113</v>
      </c>
      <c r="F54" s="26" t="s">
        <v>120</v>
      </c>
      <c r="G54" s="29" t="s">
        <v>20</v>
      </c>
      <c r="H54" s="30" t="s">
        <v>56</v>
      </c>
      <c r="I54" s="30" t="s">
        <v>121</v>
      </c>
      <c r="J54" s="30" t="s">
        <v>117</v>
      </c>
      <c r="K54" s="30" t="s">
        <v>116</v>
      </c>
      <c r="L54" s="26"/>
    </row>
    <row r="55" customFormat="false" ht="15" hidden="false" customHeight="false" outlineLevel="0" collapsed="false">
      <c r="A55" s="19" t="s">
        <v>239</v>
      </c>
      <c r="B55" s="20" t="s">
        <v>237</v>
      </c>
      <c r="C55" s="20" t="s">
        <v>240</v>
      </c>
      <c r="D55" s="21" t="s">
        <v>60</v>
      </c>
      <c r="E55" s="22" t="s">
        <v>113</v>
      </c>
      <c r="F55" s="20" t="s">
        <v>120</v>
      </c>
      <c r="G55" s="23" t="s">
        <v>20</v>
      </c>
      <c r="H55" s="24" t="s">
        <v>56</v>
      </c>
      <c r="I55" s="24" t="s">
        <v>121</v>
      </c>
      <c r="J55" s="24" t="s">
        <v>117</v>
      </c>
      <c r="K55" s="24" t="s">
        <v>116</v>
      </c>
      <c r="L55" s="20"/>
    </row>
    <row r="56" customFormat="false" ht="22.35" hidden="false" customHeight="false" outlineLevel="0" collapsed="false">
      <c r="A56" s="25" t="s">
        <v>241</v>
      </c>
      <c r="B56" s="26" t="s">
        <v>242</v>
      </c>
      <c r="C56" s="26" t="s">
        <v>243</v>
      </c>
      <c r="D56" s="27" t="s">
        <v>60</v>
      </c>
      <c r="E56" s="28" t="s">
        <v>113</v>
      </c>
      <c r="F56" s="26" t="s">
        <v>120</v>
      </c>
      <c r="G56" s="29" t="s">
        <v>20</v>
      </c>
      <c r="H56" s="30" t="s">
        <v>56</v>
      </c>
      <c r="I56" s="30" t="s">
        <v>116</v>
      </c>
      <c r="J56" s="30" t="s">
        <v>117</v>
      </c>
      <c r="K56" s="30" t="s">
        <v>116</v>
      </c>
      <c r="L56" s="26"/>
    </row>
    <row r="57" customFormat="false" ht="15" hidden="false" customHeight="false" outlineLevel="0" collapsed="false">
      <c r="A57" s="19" t="s">
        <v>244</v>
      </c>
      <c r="B57" s="20" t="s">
        <v>158</v>
      </c>
      <c r="C57" s="20" t="s">
        <v>245</v>
      </c>
      <c r="D57" s="21" t="s">
        <v>68</v>
      </c>
      <c r="E57" s="22" t="s">
        <v>113</v>
      </c>
      <c r="F57" s="20" t="s">
        <v>120</v>
      </c>
      <c r="G57" s="23" t="s">
        <v>20</v>
      </c>
      <c r="H57" s="24" t="s">
        <v>56</v>
      </c>
      <c r="I57" s="24" t="s">
        <v>121</v>
      </c>
      <c r="J57" s="24" t="s">
        <v>117</v>
      </c>
      <c r="K57" s="24" t="s">
        <v>116</v>
      </c>
      <c r="L57" s="20"/>
    </row>
    <row r="58" customFormat="false" ht="15" hidden="false" customHeight="false" outlineLevel="0" collapsed="false">
      <c r="A58" s="25" t="s">
        <v>246</v>
      </c>
      <c r="B58" s="26" t="s">
        <v>158</v>
      </c>
      <c r="C58" s="26" t="s">
        <v>247</v>
      </c>
      <c r="D58" s="27" t="s">
        <v>68</v>
      </c>
      <c r="E58" s="28" t="s">
        <v>113</v>
      </c>
      <c r="F58" s="26" t="s">
        <v>120</v>
      </c>
      <c r="G58" s="29" t="s">
        <v>24</v>
      </c>
      <c r="H58" s="30" t="s">
        <v>56</v>
      </c>
      <c r="I58" s="30" t="s">
        <v>121</v>
      </c>
      <c r="J58" s="30" t="s">
        <v>117</v>
      </c>
      <c r="K58" s="30" t="s">
        <v>116</v>
      </c>
      <c r="L58" s="26"/>
    </row>
    <row r="59" customFormat="false" ht="15" hidden="false" customHeight="false" outlineLevel="0" collapsed="false">
      <c r="A59" s="19" t="s">
        <v>248</v>
      </c>
      <c r="B59" s="20" t="s">
        <v>158</v>
      </c>
      <c r="C59" s="20" t="s">
        <v>249</v>
      </c>
      <c r="D59" s="21" t="s">
        <v>68</v>
      </c>
      <c r="E59" s="31" t="s">
        <v>235</v>
      </c>
      <c r="F59" s="20" t="s">
        <v>120</v>
      </c>
      <c r="G59" s="23" t="s">
        <v>26</v>
      </c>
      <c r="H59" s="24" t="s">
        <v>56</v>
      </c>
      <c r="I59" s="24" t="s">
        <v>121</v>
      </c>
      <c r="J59" s="24" t="s">
        <v>117</v>
      </c>
      <c r="K59" s="24" t="s">
        <v>116</v>
      </c>
      <c r="L59" s="20"/>
    </row>
    <row r="60" customFormat="false" ht="15" hidden="false" customHeight="false" outlineLevel="0" collapsed="false">
      <c r="A60" s="25" t="s">
        <v>250</v>
      </c>
      <c r="B60" s="26" t="s">
        <v>158</v>
      </c>
      <c r="C60" s="26" t="s">
        <v>251</v>
      </c>
      <c r="D60" s="27" t="s">
        <v>68</v>
      </c>
      <c r="E60" s="28" t="s">
        <v>113</v>
      </c>
      <c r="F60" s="26" t="s">
        <v>120</v>
      </c>
      <c r="G60" s="29" t="s">
        <v>20</v>
      </c>
      <c r="H60" s="30" t="s">
        <v>64</v>
      </c>
      <c r="I60" s="30" t="s">
        <v>121</v>
      </c>
      <c r="J60" s="30" t="s">
        <v>117</v>
      </c>
      <c r="K60" s="30" t="s">
        <v>116</v>
      </c>
      <c r="L60" s="26"/>
    </row>
    <row r="61" customFormat="false" ht="15" hidden="false" customHeight="false" outlineLevel="0" collapsed="false">
      <c r="A61" s="19" t="s">
        <v>252</v>
      </c>
      <c r="B61" s="20" t="s">
        <v>158</v>
      </c>
      <c r="C61" s="20" t="s">
        <v>253</v>
      </c>
      <c r="D61" s="21" t="s">
        <v>68</v>
      </c>
      <c r="E61" s="31" t="s">
        <v>235</v>
      </c>
      <c r="F61" s="20" t="s">
        <v>120</v>
      </c>
      <c r="G61" s="23" t="s">
        <v>24</v>
      </c>
      <c r="H61" s="24" t="s">
        <v>56</v>
      </c>
      <c r="I61" s="24" t="s">
        <v>121</v>
      </c>
      <c r="J61" s="24" t="s">
        <v>117</v>
      </c>
      <c r="K61" s="24" t="s">
        <v>116</v>
      </c>
      <c r="L61" s="20"/>
    </row>
    <row r="62" customFormat="false" ht="15" hidden="false" customHeight="false" outlineLevel="0" collapsed="false">
      <c r="A62" s="25" t="s">
        <v>254</v>
      </c>
      <c r="B62" s="26" t="s">
        <v>158</v>
      </c>
      <c r="C62" s="26" t="s">
        <v>255</v>
      </c>
      <c r="D62" s="27" t="s">
        <v>68</v>
      </c>
      <c r="E62" s="32" t="s">
        <v>235</v>
      </c>
      <c r="F62" s="26" t="s">
        <v>120</v>
      </c>
      <c r="G62" s="29" t="s">
        <v>28</v>
      </c>
      <c r="H62" s="30" t="s">
        <v>56</v>
      </c>
      <c r="I62" s="30" t="s">
        <v>121</v>
      </c>
      <c r="J62" s="30" t="s">
        <v>117</v>
      </c>
      <c r="K62" s="30" t="s">
        <v>116</v>
      </c>
      <c r="L62" s="26"/>
    </row>
    <row r="63" customFormat="false" ht="15" hidden="false" customHeight="false" outlineLevel="0" collapsed="false">
      <c r="A63" s="19" t="s">
        <v>256</v>
      </c>
      <c r="B63" s="20" t="s">
        <v>158</v>
      </c>
      <c r="C63" s="20" t="s">
        <v>257</v>
      </c>
      <c r="D63" s="21" t="s">
        <v>68</v>
      </c>
      <c r="E63" s="22" t="s">
        <v>113</v>
      </c>
      <c r="F63" s="20" t="s">
        <v>120</v>
      </c>
      <c r="G63" s="23" t="s">
        <v>20</v>
      </c>
      <c r="H63" s="24" t="s">
        <v>64</v>
      </c>
      <c r="I63" s="24" t="s">
        <v>121</v>
      </c>
      <c r="J63" s="24" t="s">
        <v>117</v>
      </c>
      <c r="K63" s="24" t="s">
        <v>116</v>
      </c>
      <c r="L63" s="20"/>
    </row>
    <row r="64" customFormat="false" ht="15" hidden="false" customHeight="false" outlineLevel="0" collapsed="false">
      <c r="A64" s="25" t="s">
        <v>258</v>
      </c>
      <c r="B64" s="26" t="s">
        <v>158</v>
      </c>
      <c r="C64" s="26" t="s">
        <v>259</v>
      </c>
      <c r="D64" s="27" t="s">
        <v>68</v>
      </c>
      <c r="E64" s="32" t="s">
        <v>235</v>
      </c>
      <c r="F64" s="26" t="s">
        <v>120</v>
      </c>
      <c r="G64" s="29" t="s">
        <v>24</v>
      </c>
      <c r="H64" s="30" t="s">
        <v>56</v>
      </c>
      <c r="I64" s="30" t="s">
        <v>121</v>
      </c>
      <c r="J64" s="30" t="s">
        <v>117</v>
      </c>
      <c r="K64" s="30" t="s">
        <v>116</v>
      </c>
      <c r="L64" s="26"/>
    </row>
    <row r="65" customFormat="false" ht="15" hidden="false" customHeight="false" outlineLevel="0" collapsed="false">
      <c r="A65" s="19" t="s">
        <v>260</v>
      </c>
      <c r="B65" s="20" t="s">
        <v>165</v>
      </c>
      <c r="C65" s="20" t="s">
        <v>261</v>
      </c>
      <c r="D65" s="21" t="s">
        <v>68</v>
      </c>
      <c r="E65" s="31" t="s">
        <v>235</v>
      </c>
      <c r="F65" s="20" t="s">
        <v>120</v>
      </c>
      <c r="G65" s="23" t="s">
        <v>26</v>
      </c>
      <c r="H65" s="24" t="s">
        <v>115</v>
      </c>
      <c r="I65" s="24" t="s">
        <v>121</v>
      </c>
      <c r="J65" s="24" t="s">
        <v>117</v>
      </c>
      <c r="K65" s="24" t="s">
        <v>116</v>
      </c>
      <c r="L65" s="20"/>
    </row>
    <row r="66" customFormat="false" ht="15" hidden="false" customHeight="false" outlineLevel="0" collapsed="false">
      <c r="A66" s="25" t="s">
        <v>262</v>
      </c>
      <c r="B66" s="26" t="s">
        <v>185</v>
      </c>
      <c r="C66" s="26" t="s">
        <v>263</v>
      </c>
      <c r="D66" s="27" t="s">
        <v>68</v>
      </c>
      <c r="E66" s="32" t="s">
        <v>235</v>
      </c>
      <c r="F66" s="26" t="s">
        <v>120</v>
      </c>
      <c r="G66" s="29" t="s">
        <v>22</v>
      </c>
      <c r="H66" s="30" t="s">
        <v>56</v>
      </c>
      <c r="I66" s="30" t="s">
        <v>121</v>
      </c>
      <c r="J66" s="30" t="s">
        <v>117</v>
      </c>
      <c r="K66" s="30" t="s">
        <v>116</v>
      </c>
      <c r="L66" s="26"/>
    </row>
    <row r="67" customFormat="false" ht="15" hidden="false" customHeight="false" outlineLevel="0" collapsed="false">
      <c r="A67" s="19" t="s">
        <v>264</v>
      </c>
      <c r="B67" s="20" t="s">
        <v>195</v>
      </c>
      <c r="C67" s="20" t="s">
        <v>265</v>
      </c>
      <c r="D67" s="21" t="s">
        <v>68</v>
      </c>
      <c r="E67" s="22" t="s">
        <v>113</v>
      </c>
      <c r="F67" s="20" t="s">
        <v>120</v>
      </c>
      <c r="G67" s="23" t="s">
        <v>20</v>
      </c>
      <c r="H67" s="24" t="s">
        <v>64</v>
      </c>
      <c r="I67" s="24" t="s">
        <v>121</v>
      </c>
      <c r="J67" s="24" t="s">
        <v>117</v>
      </c>
      <c r="K67" s="24" t="s">
        <v>116</v>
      </c>
      <c r="L67" s="20"/>
    </row>
    <row r="68" customFormat="false" ht="15" hidden="false" customHeight="false" outlineLevel="0" collapsed="false">
      <c r="A68" s="25" t="s">
        <v>266</v>
      </c>
      <c r="B68" s="26" t="s">
        <v>195</v>
      </c>
      <c r="C68" s="26" t="s">
        <v>267</v>
      </c>
      <c r="D68" s="27" t="s">
        <v>68</v>
      </c>
      <c r="E68" s="32" t="s">
        <v>235</v>
      </c>
      <c r="F68" s="26" t="s">
        <v>120</v>
      </c>
      <c r="G68" s="29" t="s">
        <v>20</v>
      </c>
      <c r="H68" s="30" t="s">
        <v>56</v>
      </c>
      <c r="I68" s="30" t="s">
        <v>121</v>
      </c>
      <c r="J68" s="30" t="s">
        <v>117</v>
      </c>
      <c r="K68" s="30" t="s">
        <v>116</v>
      </c>
      <c r="L68" s="26"/>
    </row>
    <row r="69" customFormat="false" ht="15" hidden="false" customHeight="false" outlineLevel="0" collapsed="false">
      <c r="A69" s="19" t="s">
        <v>268</v>
      </c>
      <c r="B69" s="20" t="s">
        <v>195</v>
      </c>
      <c r="C69" s="20" t="s">
        <v>269</v>
      </c>
      <c r="D69" s="21" t="s">
        <v>68</v>
      </c>
      <c r="E69" s="31" t="s">
        <v>235</v>
      </c>
      <c r="F69" s="20" t="s">
        <v>120</v>
      </c>
      <c r="G69" s="23" t="s">
        <v>26</v>
      </c>
      <c r="H69" s="24" t="s">
        <v>56</v>
      </c>
      <c r="I69" s="24" t="s">
        <v>121</v>
      </c>
      <c r="J69" s="24" t="s">
        <v>117</v>
      </c>
      <c r="K69" s="24" t="s">
        <v>116</v>
      </c>
      <c r="L69" s="20"/>
    </row>
    <row r="70" customFormat="false" ht="15" hidden="false" customHeight="false" outlineLevel="0" collapsed="false">
      <c r="A70" s="25" t="s">
        <v>270</v>
      </c>
      <c r="B70" s="26" t="s">
        <v>229</v>
      </c>
      <c r="C70" s="26" t="s">
        <v>271</v>
      </c>
      <c r="D70" s="27" t="s">
        <v>68</v>
      </c>
      <c r="E70" s="32" t="s">
        <v>235</v>
      </c>
      <c r="F70" s="26" t="s">
        <v>120</v>
      </c>
      <c r="G70" s="29" t="s">
        <v>20</v>
      </c>
      <c r="H70" s="30" t="s">
        <v>56</v>
      </c>
      <c r="I70" s="30" t="s">
        <v>121</v>
      </c>
      <c r="J70" s="30" t="s">
        <v>117</v>
      </c>
      <c r="K70" s="30" t="s">
        <v>116</v>
      </c>
      <c r="L70" s="26"/>
    </row>
    <row r="71" customFormat="false" ht="15" hidden="false" customHeight="false" outlineLevel="0" collapsed="false">
      <c r="A71" s="19" t="s">
        <v>272</v>
      </c>
      <c r="B71" s="20" t="s">
        <v>273</v>
      </c>
      <c r="C71" s="20" t="s">
        <v>274</v>
      </c>
      <c r="D71" s="21" t="s">
        <v>68</v>
      </c>
      <c r="E71" s="22" t="s">
        <v>113</v>
      </c>
      <c r="F71" s="20" t="s">
        <v>128</v>
      </c>
      <c r="G71" s="23" t="s">
        <v>20</v>
      </c>
      <c r="H71" s="24" t="s">
        <v>115</v>
      </c>
      <c r="I71" s="24" t="s">
        <v>116</v>
      </c>
      <c r="J71" s="24" t="s">
        <v>117</v>
      </c>
      <c r="K71" s="24" t="s">
        <v>116</v>
      </c>
      <c r="L71" s="20"/>
    </row>
    <row r="72" customFormat="false" ht="15" hidden="false" customHeight="false" outlineLevel="0" collapsed="false">
      <c r="A72" s="25" t="s">
        <v>275</v>
      </c>
      <c r="B72" s="26" t="s">
        <v>276</v>
      </c>
      <c r="C72" s="26" t="s">
        <v>277</v>
      </c>
      <c r="D72" s="27" t="s">
        <v>68</v>
      </c>
      <c r="E72" s="32" t="s">
        <v>235</v>
      </c>
      <c r="F72" s="26" t="s">
        <v>128</v>
      </c>
      <c r="G72" s="29" t="s">
        <v>20</v>
      </c>
      <c r="H72" s="30" t="s">
        <v>56</v>
      </c>
      <c r="I72" s="30" t="s">
        <v>121</v>
      </c>
      <c r="J72" s="30" t="s">
        <v>117</v>
      </c>
      <c r="K72" s="30" t="s">
        <v>116</v>
      </c>
      <c r="L72" s="26"/>
    </row>
    <row r="73" customFormat="false" ht="15" hidden="false" customHeight="false" outlineLevel="0" collapsed="false">
      <c r="A73" s="19" t="s">
        <v>278</v>
      </c>
      <c r="B73" s="20" t="s">
        <v>165</v>
      </c>
      <c r="C73" s="20" t="s">
        <v>279</v>
      </c>
      <c r="D73" s="21" t="s">
        <v>73</v>
      </c>
      <c r="E73" s="22" t="s">
        <v>113</v>
      </c>
      <c r="F73" s="20" t="s">
        <v>120</v>
      </c>
      <c r="G73" s="23" t="s">
        <v>24</v>
      </c>
      <c r="H73" s="24" t="s">
        <v>115</v>
      </c>
      <c r="I73" s="24" t="s">
        <v>121</v>
      </c>
      <c r="J73" s="24" t="s">
        <v>117</v>
      </c>
      <c r="K73" s="24" t="s">
        <v>116</v>
      </c>
      <c r="L73" s="20"/>
    </row>
    <row r="74" customFormat="false" ht="15" hidden="false" customHeight="false" outlineLevel="0" collapsed="false">
      <c r="A74" s="25" t="s">
        <v>280</v>
      </c>
      <c r="B74" s="26" t="s">
        <v>185</v>
      </c>
      <c r="C74" s="26" t="s">
        <v>281</v>
      </c>
      <c r="D74" s="27" t="s">
        <v>73</v>
      </c>
      <c r="E74" s="32" t="s">
        <v>235</v>
      </c>
      <c r="F74" s="26" t="s">
        <v>120</v>
      </c>
      <c r="G74" s="29" t="s">
        <v>28</v>
      </c>
      <c r="H74" s="30" t="s">
        <v>56</v>
      </c>
      <c r="I74" s="30" t="s">
        <v>121</v>
      </c>
      <c r="J74" s="30" t="s">
        <v>117</v>
      </c>
      <c r="K74" s="30" t="s">
        <v>116</v>
      </c>
      <c r="L74" s="26"/>
    </row>
    <row r="75" customFormat="false" ht="15" hidden="false" customHeight="false" outlineLevel="0" collapsed="false">
      <c r="A75" s="19" t="s">
        <v>282</v>
      </c>
      <c r="B75" s="20" t="s">
        <v>195</v>
      </c>
      <c r="C75" s="20" t="s">
        <v>283</v>
      </c>
      <c r="D75" s="21" t="s">
        <v>73</v>
      </c>
      <c r="E75" s="31" t="s">
        <v>235</v>
      </c>
      <c r="F75" s="20" t="s">
        <v>120</v>
      </c>
      <c r="G75" s="23" t="s">
        <v>22</v>
      </c>
      <c r="H75" s="24" t="s">
        <v>56</v>
      </c>
      <c r="I75" s="24" t="s">
        <v>121</v>
      </c>
      <c r="J75" s="24" t="s">
        <v>117</v>
      </c>
      <c r="K75" s="24" t="s">
        <v>116</v>
      </c>
      <c r="L75" s="20"/>
    </row>
    <row r="76" customFormat="false" ht="15" hidden="false" customHeight="false" outlineLevel="0" collapsed="false">
      <c r="A76" s="25" t="s">
        <v>284</v>
      </c>
      <c r="B76" s="26" t="s">
        <v>195</v>
      </c>
      <c r="C76" s="26" t="s">
        <v>285</v>
      </c>
      <c r="D76" s="27" t="s">
        <v>73</v>
      </c>
      <c r="E76" s="32" t="s">
        <v>235</v>
      </c>
      <c r="F76" s="26" t="s">
        <v>154</v>
      </c>
      <c r="G76" s="29" t="s">
        <v>22</v>
      </c>
      <c r="H76" s="30" t="s">
        <v>56</v>
      </c>
      <c r="I76" s="30" t="s">
        <v>121</v>
      </c>
      <c r="J76" s="30" t="s">
        <v>117</v>
      </c>
      <c r="K76" s="30" t="s">
        <v>116</v>
      </c>
      <c r="L76" s="26"/>
    </row>
    <row r="77" customFormat="false" ht="15" hidden="false" customHeight="false" outlineLevel="0" collapsed="false">
      <c r="A77" s="19" t="s">
        <v>286</v>
      </c>
      <c r="B77" s="20" t="s">
        <v>287</v>
      </c>
      <c r="C77" s="20" t="s">
        <v>288</v>
      </c>
      <c r="D77" s="21" t="s">
        <v>73</v>
      </c>
      <c r="E77" s="22" t="s">
        <v>113</v>
      </c>
      <c r="F77" s="20" t="s">
        <v>120</v>
      </c>
      <c r="G77" s="23" t="s">
        <v>28</v>
      </c>
      <c r="H77" s="24" t="s">
        <v>64</v>
      </c>
      <c r="I77" s="24" t="s">
        <v>121</v>
      </c>
      <c r="J77" s="24" t="s">
        <v>117</v>
      </c>
      <c r="K77" s="24" t="s">
        <v>116</v>
      </c>
      <c r="L77" s="20"/>
    </row>
    <row r="78" customFormat="false" ht="15" hidden="false" customHeight="false" outlineLevel="0" collapsed="false">
      <c r="A78" s="25" t="s">
        <v>289</v>
      </c>
      <c r="B78" s="26" t="s">
        <v>287</v>
      </c>
      <c r="C78" s="26" t="s">
        <v>290</v>
      </c>
      <c r="D78" s="27" t="s">
        <v>73</v>
      </c>
      <c r="E78" s="28" t="s">
        <v>113</v>
      </c>
      <c r="F78" s="26" t="s">
        <v>120</v>
      </c>
      <c r="G78" s="29" t="s">
        <v>28</v>
      </c>
      <c r="H78" s="30" t="s">
        <v>56</v>
      </c>
      <c r="I78" s="30" t="s">
        <v>121</v>
      </c>
      <c r="J78" s="30" t="s">
        <v>117</v>
      </c>
      <c r="K78" s="30" t="s">
        <v>116</v>
      </c>
      <c r="L78" s="26"/>
    </row>
    <row r="79" customFormat="false" ht="15" hidden="false" customHeight="false" outlineLevel="0" collapsed="false">
      <c r="A79" s="19" t="s">
        <v>291</v>
      </c>
      <c r="B79" s="20" t="s">
        <v>287</v>
      </c>
      <c r="C79" s="20" t="s">
        <v>292</v>
      </c>
      <c r="D79" s="21" t="s">
        <v>73</v>
      </c>
      <c r="E79" s="22" t="s">
        <v>113</v>
      </c>
      <c r="F79" s="20" t="s">
        <v>120</v>
      </c>
      <c r="G79" s="23" t="s">
        <v>26</v>
      </c>
      <c r="H79" s="24" t="s">
        <v>56</v>
      </c>
      <c r="I79" s="24" t="s">
        <v>121</v>
      </c>
      <c r="J79" s="24" t="s">
        <v>117</v>
      </c>
      <c r="K79" s="24" t="s">
        <v>116</v>
      </c>
      <c r="L79" s="20"/>
    </row>
    <row r="80" customFormat="false" ht="15" hidden="false" customHeight="false" outlineLevel="0" collapsed="false">
      <c r="A80" s="25" t="s">
        <v>293</v>
      </c>
      <c r="B80" s="26" t="s">
        <v>287</v>
      </c>
      <c r="C80" s="26" t="s">
        <v>294</v>
      </c>
      <c r="D80" s="27" t="s">
        <v>73</v>
      </c>
      <c r="E80" s="28" t="s">
        <v>113</v>
      </c>
      <c r="F80" s="26" t="s">
        <v>120</v>
      </c>
      <c r="G80" s="29" t="s">
        <v>24</v>
      </c>
      <c r="H80" s="30" t="s">
        <v>56</v>
      </c>
      <c r="I80" s="30" t="s">
        <v>121</v>
      </c>
      <c r="J80" s="30" t="s">
        <v>117</v>
      </c>
      <c r="K80" s="30" t="s">
        <v>116</v>
      </c>
      <c r="L80" s="26"/>
    </row>
    <row r="81" customFormat="false" ht="15" hidden="false" customHeight="false" outlineLevel="0" collapsed="false">
      <c r="A81" s="19" t="s">
        <v>295</v>
      </c>
      <c r="B81" s="20" t="s">
        <v>296</v>
      </c>
      <c r="C81" s="20" t="s">
        <v>297</v>
      </c>
      <c r="D81" s="21" t="s">
        <v>73</v>
      </c>
      <c r="E81" s="22" t="s">
        <v>113</v>
      </c>
      <c r="F81" s="20" t="s">
        <v>208</v>
      </c>
      <c r="G81" s="23" t="s">
        <v>28</v>
      </c>
      <c r="H81" s="24" t="s">
        <v>77</v>
      </c>
      <c r="I81" s="24" t="s">
        <v>121</v>
      </c>
      <c r="J81" s="24" t="s">
        <v>117</v>
      </c>
      <c r="K81" s="24" t="s">
        <v>116</v>
      </c>
      <c r="L81" s="20"/>
    </row>
    <row r="82" customFormat="false" ht="15" hidden="false" customHeight="false" outlineLevel="0" collapsed="false">
      <c r="A82" s="25" t="s">
        <v>298</v>
      </c>
      <c r="B82" s="26" t="s">
        <v>296</v>
      </c>
      <c r="C82" s="26" t="s">
        <v>299</v>
      </c>
      <c r="D82" s="27" t="s">
        <v>73</v>
      </c>
      <c r="E82" s="28" t="s">
        <v>113</v>
      </c>
      <c r="F82" s="26" t="s">
        <v>120</v>
      </c>
      <c r="G82" s="29" t="s">
        <v>28</v>
      </c>
      <c r="H82" s="30" t="s">
        <v>64</v>
      </c>
      <c r="I82" s="30" t="s">
        <v>121</v>
      </c>
      <c r="J82" s="30" t="s">
        <v>117</v>
      </c>
      <c r="K82" s="30" t="s">
        <v>116</v>
      </c>
      <c r="L82" s="26"/>
    </row>
    <row r="83" customFormat="false" ht="15" hidden="false" customHeight="false" outlineLevel="0" collapsed="false">
      <c r="A83" s="19" t="s">
        <v>300</v>
      </c>
      <c r="B83" s="20" t="s">
        <v>296</v>
      </c>
      <c r="C83" s="20" t="s">
        <v>301</v>
      </c>
      <c r="D83" s="21" t="s">
        <v>73</v>
      </c>
      <c r="E83" s="22" t="s">
        <v>113</v>
      </c>
      <c r="F83" s="20" t="s">
        <v>120</v>
      </c>
      <c r="G83" s="23" t="s">
        <v>28</v>
      </c>
      <c r="H83" s="24" t="s">
        <v>56</v>
      </c>
      <c r="I83" s="24" t="s">
        <v>121</v>
      </c>
      <c r="J83" s="24" t="s">
        <v>117</v>
      </c>
      <c r="K83" s="24" t="s">
        <v>116</v>
      </c>
      <c r="L83" s="20"/>
    </row>
    <row r="84" customFormat="false" ht="15" hidden="false" customHeight="false" outlineLevel="0" collapsed="false">
      <c r="A84" s="25" t="s">
        <v>302</v>
      </c>
      <c r="B84" s="26" t="s">
        <v>296</v>
      </c>
      <c r="C84" s="26" t="s">
        <v>303</v>
      </c>
      <c r="D84" s="27" t="s">
        <v>73</v>
      </c>
      <c r="E84" s="32" t="s">
        <v>235</v>
      </c>
      <c r="F84" s="26" t="s">
        <v>120</v>
      </c>
      <c r="G84" s="29" t="s">
        <v>28</v>
      </c>
      <c r="H84" s="30" t="s">
        <v>56</v>
      </c>
      <c r="I84" s="30" t="s">
        <v>121</v>
      </c>
      <c r="J84" s="30" t="s">
        <v>117</v>
      </c>
      <c r="K84" s="30" t="s">
        <v>116</v>
      </c>
      <c r="L84" s="26"/>
    </row>
    <row r="85" customFormat="false" ht="15" hidden="false" customHeight="false" outlineLevel="0" collapsed="false">
      <c r="A85" s="19" t="s">
        <v>304</v>
      </c>
      <c r="B85" s="20" t="s">
        <v>305</v>
      </c>
      <c r="C85" s="20" t="s">
        <v>306</v>
      </c>
      <c r="D85" s="21" t="s">
        <v>73</v>
      </c>
      <c r="E85" s="22" t="s">
        <v>113</v>
      </c>
      <c r="F85" s="20" t="s">
        <v>208</v>
      </c>
      <c r="G85" s="23" t="s">
        <v>22</v>
      </c>
      <c r="H85" s="24" t="s">
        <v>56</v>
      </c>
      <c r="I85" s="24" t="s">
        <v>121</v>
      </c>
      <c r="J85" s="24" t="s">
        <v>117</v>
      </c>
      <c r="K85" s="24" t="s">
        <v>116</v>
      </c>
      <c r="L85" s="20"/>
    </row>
    <row r="86" customFormat="false" ht="15" hidden="false" customHeight="false" outlineLevel="0" collapsed="false">
      <c r="A86" s="25" t="s">
        <v>307</v>
      </c>
      <c r="B86" s="26" t="s">
        <v>308</v>
      </c>
      <c r="C86" s="26" t="s">
        <v>309</v>
      </c>
      <c r="D86" s="27" t="s">
        <v>73</v>
      </c>
      <c r="E86" s="28" t="s">
        <v>113</v>
      </c>
      <c r="F86" s="26" t="s">
        <v>131</v>
      </c>
      <c r="G86" s="29" t="s">
        <v>20</v>
      </c>
      <c r="H86" s="30" t="s">
        <v>56</v>
      </c>
      <c r="I86" s="30" t="s">
        <v>116</v>
      </c>
      <c r="J86" s="30" t="s">
        <v>117</v>
      </c>
      <c r="K86" s="30" t="s">
        <v>116</v>
      </c>
      <c r="L86" s="26"/>
    </row>
    <row r="87" customFormat="false" ht="15" hidden="false" customHeight="false" outlineLevel="0" collapsed="false">
      <c r="A87" s="19" t="s">
        <v>310</v>
      </c>
      <c r="B87" s="20" t="s">
        <v>144</v>
      </c>
      <c r="C87" s="20" t="s">
        <v>311</v>
      </c>
      <c r="D87" s="21" t="s">
        <v>81</v>
      </c>
      <c r="E87" s="31" t="s">
        <v>235</v>
      </c>
      <c r="F87" s="20" t="s">
        <v>120</v>
      </c>
      <c r="G87" s="23" t="s">
        <v>26</v>
      </c>
      <c r="H87" s="24" t="s">
        <v>115</v>
      </c>
      <c r="I87" s="24" t="s">
        <v>121</v>
      </c>
      <c r="J87" s="24" t="s">
        <v>117</v>
      </c>
      <c r="K87" s="24" t="s">
        <v>116</v>
      </c>
      <c r="L87" s="20"/>
    </row>
    <row r="88" customFormat="false" ht="15" hidden="false" customHeight="false" outlineLevel="0" collapsed="false">
      <c r="A88" s="25" t="s">
        <v>312</v>
      </c>
      <c r="B88" s="26" t="s">
        <v>165</v>
      </c>
      <c r="C88" s="26" t="s">
        <v>313</v>
      </c>
      <c r="D88" s="27" t="s">
        <v>81</v>
      </c>
      <c r="E88" s="32" t="s">
        <v>235</v>
      </c>
      <c r="F88" s="26" t="s">
        <v>176</v>
      </c>
      <c r="G88" s="29" t="s">
        <v>24</v>
      </c>
      <c r="H88" s="30" t="s">
        <v>56</v>
      </c>
      <c r="I88" s="30" t="s">
        <v>121</v>
      </c>
      <c r="J88" s="30" t="s">
        <v>117</v>
      </c>
      <c r="K88" s="30" t="s">
        <v>116</v>
      </c>
      <c r="L88" s="26"/>
    </row>
    <row r="89" customFormat="false" ht="15" hidden="false" customHeight="false" outlineLevel="0" collapsed="false">
      <c r="A89" s="19" t="s">
        <v>314</v>
      </c>
      <c r="B89" s="20" t="s">
        <v>172</v>
      </c>
      <c r="C89" s="20" t="s">
        <v>315</v>
      </c>
      <c r="D89" s="21" t="s">
        <v>81</v>
      </c>
      <c r="E89" s="31" t="s">
        <v>235</v>
      </c>
      <c r="F89" s="20" t="s">
        <v>120</v>
      </c>
      <c r="G89" s="23" t="s">
        <v>30</v>
      </c>
      <c r="H89" s="24" t="s">
        <v>56</v>
      </c>
      <c r="I89" s="24" t="s">
        <v>121</v>
      </c>
      <c r="J89" s="24" t="s">
        <v>117</v>
      </c>
      <c r="K89" s="24" t="s">
        <v>116</v>
      </c>
      <c r="L89" s="20"/>
    </row>
    <row r="90" customFormat="false" ht="15" hidden="false" customHeight="false" outlineLevel="0" collapsed="false">
      <c r="A90" s="25" t="s">
        <v>316</v>
      </c>
      <c r="B90" s="26" t="s">
        <v>172</v>
      </c>
      <c r="C90" s="26" t="s">
        <v>317</v>
      </c>
      <c r="D90" s="27" t="s">
        <v>81</v>
      </c>
      <c r="E90" s="32" t="s">
        <v>235</v>
      </c>
      <c r="F90" s="26" t="s">
        <v>120</v>
      </c>
      <c r="G90" s="29" t="s">
        <v>30</v>
      </c>
      <c r="H90" s="30" t="s">
        <v>115</v>
      </c>
      <c r="I90" s="30" t="s">
        <v>121</v>
      </c>
      <c r="J90" s="30" t="s">
        <v>117</v>
      </c>
      <c r="K90" s="30" t="s">
        <v>116</v>
      </c>
      <c r="L90" s="26"/>
    </row>
    <row r="91" customFormat="false" ht="15" hidden="false" customHeight="false" outlineLevel="0" collapsed="false">
      <c r="A91" s="19" t="s">
        <v>318</v>
      </c>
      <c r="B91" s="20" t="s">
        <v>172</v>
      </c>
      <c r="C91" s="20" t="s">
        <v>319</v>
      </c>
      <c r="D91" s="21" t="s">
        <v>81</v>
      </c>
      <c r="E91" s="31" t="s">
        <v>235</v>
      </c>
      <c r="F91" s="20" t="s">
        <v>120</v>
      </c>
      <c r="G91" s="23" t="s">
        <v>30</v>
      </c>
      <c r="H91" s="24" t="s">
        <v>56</v>
      </c>
      <c r="I91" s="24" t="s">
        <v>121</v>
      </c>
      <c r="J91" s="24" t="s">
        <v>117</v>
      </c>
      <c r="K91" s="24" t="s">
        <v>116</v>
      </c>
      <c r="L91" s="20"/>
    </row>
    <row r="92" customFormat="false" ht="15" hidden="false" customHeight="false" outlineLevel="0" collapsed="false">
      <c r="A92" s="25" t="s">
        <v>320</v>
      </c>
      <c r="B92" s="26" t="s">
        <v>185</v>
      </c>
      <c r="C92" s="26" t="s">
        <v>321</v>
      </c>
      <c r="D92" s="27" t="s">
        <v>81</v>
      </c>
      <c r="E92" s="32" t="s">
        <v>235</v>
      </c>
      <c r="F92" s="26" t="s">
        <v>120</v>
      </c>
      <c r="G92" s="29" t="s">
        <v>22</v>
      </c>
      <c r="H92" s="30" t="s">
        <v>115</v>
      </c>
      <c r="I92" s="30" t="s">
        <v>121</v>
      </c>
      <c r="J92" s="30" t="s">
        <v>117</v>
      </c>
      <c r="K92" s="30" t="s">
        <v>116</v>
      </c>
      <c r="L92" s="26"/>
    </row>
    <row r="93" customFormat="false" ht="15" hidden="false" customHeight="false" outlineLevel="0" collapsed="false">
      <c r="A93" s="19" t="s">
        <v>322</v>
      </c>
      <c r="B93" s="20" t="s">
        <v>185</v>
      </c>
      <c r="C93" s="20" t="s">
        <v>323</v>
      </c>
      <c r="D93" s="21" t="s">
        <v>81</v>
      </c>
      <c r="E93" s="22" t="s">
        <v>113</v>
      </c>
      <c r="F93" s="20" t="s">
        <v>120</v>
      </c>
      <c r="G93" s="23" t="s">
        <v>22</v>
      </c>
      <c r="H93" s="24" t="s">
        <v>64</v>
      </c>
      <c r="I93" s="24" t="s">
        <v>121</v>
      </c>
      <c r="J93" s="24" t="s">
        <v>117</v>
      </c>
      <c r="K93" s="24" t="s">
        <v>116</v>
      </c>
      <c r="L93" s="20"/>
    </row>
    <row r="94" customFormat="false" ht="15" hidden="false" customHeight="false" outlineLevel="0" collapsed="false">
      <c r="A94" s="25" t="s">
        <v>324</v>
      </c>
      <c r="B94" s="26" t="s">
        <v>185</v>
      </c>
      <c r="C94" s="26" t="s">
        <v>325</v>
      </c>
      <c r="D94" s="27" t="s">
        <v>81</v>
      </c>
      <c r="E94" s="32" t="s">
        <v>235</v>
      </c>
      <c r="F94" s="26" t="s">
        <v>208</v>
      </c>
      <c r="G94" s="29" t="s">
        <v>22</v>
      </c>
      <c r="H94" s="30" t="s">
        <v>56</v>
      </c>
      <c r="I94" s="30" t="s">
        <v>121</v>
      </c>
      <c r="J94" s="30" t="s">
        <v>117</v>
      </c>
      <c r="K94" s="30" t="s">
        <v>116</v>
      </c>
      <c r="L94" s="26"/>
    </row>
    <row r="95" customFormat="false" ht="15" hidden="false" customHeight="false" outlineLevel="0" collapsed="false">
      <c r="A95" s="19" t="s">
        <v>326</v>
      </c>
      <c r="B95" s="20" t="s">
        <v>185</v>
      </c>
      <c r="C95" s="20" t="s">
        <v>327</v>
      </c>
      <c r="D95" s="21" t="s">
        <v>81</v>
      </c>
      <c r="E95" s="31" t="s">
        <v>235</v>
      </c>
      <c r="F95" s="20" t="s">
        <v>120</v>
      </c>
      <c r="G95" s="23" t="s">
        <v>22</v>
      </c>
      <c r="H95" s="24" t="s">
        <v>56</v>
      </c>
      <c r="I95" s="24" t="s">
        <v>121</v>
      </c>
      <c r="J95" s="24" t="s">
        <v>117</v>
      </c>
      <c r="K95" s="24" t="s">
        <v>116</v>
      </c>
      <c r="L95" s="20"/>
    </row>
    <row r="96" customFormat="false" ht="15" hidden="false" customHeight="false" outlineLevel="0" collapsed="false">
      <c r="A96" s="25" t="s">
        <v>328</v>
      </c>
      <c r="B96" s="26" t="s">
        <v>185</v>
      </c>
      <c r="C96" s="26" t="s">
        <v>329</v>
      </c>
      <c r="D96" s="27" t="s">
        <v>81</v>
      </c>
      <c r="E96" s="28" t="s">
        <v>113</v>
      </c>
      <c r="F96" s="26" t="s">
        <v>154</v>
      </c>
      <c r="G96" s="29" t="s">
        <v>22</v>
      </c>
      <c r="H96" s="30" t="s">
        <v>115</v>
      </c>
      <c r="I96" s="30" t="s">
        <v>116</v>
      </c>
      <c r="J96" s="30" t="s">
        <v>117</v>
      </c>
      <c r="K96" s="30" t="s">
        <v>116</v>
      </c>
      <c r="L96" s="26"/>
    </row>
    <row r="97" customFormat="false" ht="15" hidden="false" customHeight="false" outlineLevel="0" collapsed="false">
      <c r="A97" s="19" t="s">
        <v>330</v>
      </c>
      <c r="B97" s="20" t="s">
        <v>190</v>
      </c>
      <c r="C97" s="20" t="s">
        <v>331</v>
      </c>
      <c r="D97" s="21" t="s">
        <v>81</v>
      </c>
      <c r="E97" s="31" t="s">
        <v>235</v>
      </c>
      <c r="F97" s="20" t="s">
        <v>208</v>
      </c>
      <c r="G97" s="23" t="s">
        <v>20</v>
      </c>
      <c r="H97" s="24" t="s">
        <v>56</v>
      </c>
      <c r="I97" s="24" t="s">
        <v>121</v>
      </c>
      <c r="J97" s="24" t="s">
        <v>117</v>
      </c>
      <c r="K97" s="24" t="s">
        <v>116</v>
      </c>
      <c r="L97" s="20"/>
    </row>
    <row r="98" customFormat="false" ht="15" hidden="false" customHeight="false" outlineLevel="0" collapsed="false">
      <c r="A98" s="25" t="s">
        <v>332</v>
      </c>
      <c r="B98" s="26" t="s">
        <v>190</v>
      </c>
      <c r="C98" s="26" t="s">
        <v>333</v>
      </c>
      <c r="D98" s="27" t="s">
        <v>81</v>
      </c>
      <c r="E98" s="32" t="s">
        <v>235</v>
      </c>
      <c r="F98" s="26" t="s">
        <v>208</v>
      </c>
      <c r="G98" s="29" t="s">
        <v>20</v>
      </c>
      <c r="H98" s="30" t="s">
        <v>56</v>
      </c>
      <c r="I98" s="30" t="s">
        <v>121</v>
      </c>
      <c r="J98" s="30" t="s">
        <v>117</v>
      </c>
      <c r="K98" s="30" t="s">
        <v>116</v>
      </c>
      <c r="L98" s="26"/>
    </row>
    <row r="99" customFormat="false" ht="15" hidden="false" customHeight="false" outlineLevel="0" collapsed="false">
      <c r="A99" s="19" t="s">
        <v>334</v>
      </c>
      <c r="B99" s="20" t="s">
        <v>190</v>
      </c>
      <c r="C99" s="20" t="s">
        <v>335</v>
      </c>
      <c r="D99" s="21" t="s">
        <v>81</v>
      </c>
      <c r="E99" s="22" t="s">
        <v>113</v>
      </c>
      <c r="F99" s="20" t="s">
        <v>208</v>
      </c>
      <c r="G99" s="23" t="s">
        <v>20</v>
      </c>
      <c r="H99" s="24" t="s">
        <v>64</v>
      </c>
      <c r="I99" s="24" t="s">
        <v>121</v>
      </c>
      <c r="J99" s="24" t="s">
        <v>117</v>
      </c>
      <c r="K99" s="24" t="s">
        <v>116</v>
      </c>
      <c r="L99" s="20"/>
    </row>
    <row r="100" customFormat="false" ht="15" hidden="false" customHeight="false" outlineLevel="0" collapsed="false">
      <c r="A100" s="25" t="s">
        <v>336</v>
      </c>
      <c r="B100" s="26" t="s">
        <v>190</v>
      </c>
      <c r="C100" s="26" t="s">
        <v>337</v>
      </c>
      <c r="D100" s="27" t="s">
        <v>81</v>
      </c>
      <c r="E100" s="32" t="s">
        <v>235</v>
      </c>
      <c r="F100" s="26" t="s">
        <v>208</v>
      </c>
      <c r="G100" s="29" t="s">
        <v>28</v>
      </c>
      <c r="H100" s="30" t="s">
        <v>56</v>
      </c>
      <c r="I100" s="30" t="s">
        <v>121</v>
      </c>
      <c r="J100" s="30" t="s">
        <v>117</v>
      </c>
      <c r="K100" s="30" t="s">
        <v>116</v>
      </c>
      <c r="L100" s="26"/>
    </row>
    <row r="101" customFormat="false" ht="15" hidden="false" customHeight="false" outlineLevel="0" collapsed="false">
      <c r="A101" s="19" t="s">
        <v>338</v>
      </c>
      <c r="B101" s="20" t="s">
        <v>190</v>
      </c>
      <c r="C101" s="20" t="s">
        <v>339</v>
      </c>
      <c r="D101" s="21" t="s">
        <v>81</v>
      </c>
      <c r="E101" s="23" t="s">
        <v>340</v>
      </c>
      <c r="F101" s="20" t="s">
        <v>208</v>
      </c>
      <c r="G101" s="23" t="s">
        <v>20</v>
      </c>
      <c r="H101" s="24" t="s">
        <v>115</v>
      </c>
      <c r="I101" s="24" t="s">
        <v>121</v>
      </c>
      <c r="J101" s="24" t="s">
        <v>117</v>
      </c>
      <c r="K101" s="24" t="s">
        <v>116</v>
      </c>
      <c r="L101" s="20"/>
    </row>
    <row r="102" customFormat="false" ht="15" hidden="false" customHeight="false" outlineLevel="0" collapsed="false">
      <c r="A102" s="25" t="s">
        <v>341</v>
      </c>
      <c r="B102" s="26" t="s">
        <v>190</v>
      </c>
      <c r="C102" s="26" t="s">
        <v>342</v>
      </c>
      <c r="D102" s="27" t="s">
        <v>81</v>
      </c>
      <c r="E102" s="32" t="s">
        <v>235</v>
      </c>
      <c r="F102" s="26" t="s">
        <v>208</v>
      </c>
      <c r="G102" s="29" t="s">
        <v>24</v>
      </c>
      <c r="H102" s="30" t="s">
        <v>56</v>
      </c>
      <c r="I102" s="30" t="s">
        <v>121</v>
      </c>
      <c r="J102" s="30" t="s">
        <v>117</v>
      </c>
      <c r="K102" s="30" t="s">
        <v>116</v>
      </c>
      <c r="L102" s="26"/>
    </row>
    <row r="103" customFormat="false" ht="15" hidden="false" customHeight="false" outlineLevel="0" collapsed="false">
      <c r="A103" s="19" t="s">
        <v>343</v>
      </c>
      <c r="B103" s="20" t="s">
        <v>190</v>
      </c>
      <c r="C103" s="20" t="s">
        <v>344</v>
      </c>
      <c r="D103" s="21" t="s">
        <v>81</v>
      </c>
      <c r="E103" s="31" t="s">
        <v>235</v>
      </c>
      <c r="F103" s="20" t="s">
        <v>120</v>
      </c>
      <c r="G103" s="23" t="s">
        <v>20</v>
      </c>
      <c r="H103" s="24" t="s">
        <v>115</v>
      </c>
      <c r="I103" s="24" t="s">
        <v>121</v>
      </c>
      <c r="J103" s="24" t="s">
        <v>117</v>
      </c>
      <c r="K103" s="24" t="s">
        <v>116</v>
      </c>
      <c r="L103" s="20"/>
    </row>
    <row r="104" customFormat="false" ht="15" hidden="false" customHeight="false" outlineLevel="0" collapsed="false">
      <c r="A104" s="25" t="s">
        <v>345</v>
      </c>
      <c r="B104" s="26" t="s">
        <v>195</v>
      </c>
      <c r="C104" s="26" t="s">
        <v>346</v>
      </c>
      <c r="D104" s="27" t="s">
        <v>81</v>
      </c>
      <c r="E104" s="32" t="s">
        <v>235</v>
      </c>
      <c r="F104" s="26" t="s">
        <v>120</v>
      </c>
      <c r="G104" s="29" t="s">
        <v>26</v>
      </c>
      <c r="H104" s="30" t="s">
        <v>56</v>
      </c>
      <c r="I104" s="30" t="s">
        <v>121</v>
      </c>
      <c r="J104" s="30" t="s">
        <v>117</v>
      </c>
      <c r="K104" s="30" t="s">
        <v>116</v>
      </c>
      <c r="L104" s="26"/>
    </row>
    <row r="105" customFormat="false" ht="15" hidden="false" customHeight="false" outlineLevel="0" collapsed="false">
      <c r="A105" s="19" t="s">
        <v>347</v>
      </c>
      <c r="B105" s="20" t="s">
        <v>204</v>
      </c>
      <c r="C105" s="20" t="s">
        <v>348</v>
      </c>
      <c r="D105" s="21" t="s">
        <v>81</v>
      </c>
      <c r="E105" s="31" t="s">
        <v>235</v>
      </c>
      <c r="F105" s="20" t="s">
        <v>120</v>
      </c>
      <c r="G105" s="23" t="s">
        <v>26</v>
      </c>
      <c r="H105" s="24" t="s">
        <v>56</v>
      </c>
      <c r="I105" s="24" t="s">
        <v>121</v>
      </c>
      <c r="J105" s="24" t="s">
        <v>117</v>
      </c>
      <c r="K105" s="24" t="s">
        <v>116</v>
      </c>
      <c r="L105" s="20"/>
    </row>
    <row r="106" customFormat="false" ht="15" hidden="false" customHeight="false" outlineLevel="0" collapsed="false">
      <c r="A106" s="25" t="s">
        <v>349</v>
      </c>
      <c r="B106" s="26" t="s">
        <v>204</v>
      </c>
      <c r="C106" s="26" t="s">
        <v>350</v>
      </c>
      <c r="D106" s="27" t="s">
        <v>81</v>
      </c>
      <c r="E106" s="32" t="s">
        <v>235</v>
      </c>
      <c r="F106" s="26" t="s">
        <v>120</v>
      </c>
      <c r="G106" s="29" t="s">
        <v>26</v>
      </c>
      <c r="H106" s="30" t="s">
        <v>115</v>
      </c>
      <c r="I106" s="30" t="s">
        <v>121</v>
      </c>
      <c r="J106" s="30" t="s">
        <v>117</v>
      </c>
      <c r="K106" s="30" t="s">
        <v>116</v>
      </c>
      <c r="L106" s="26"/>
    </row>
    <row r="107" customFormat="false" ht="15" hidden="false" customHeight="false" outlineLevel="0" collapsed="false">
      <c r="A107" s="19" t="s">
        <v>351</v>
      </c>
      <c r="B107" s="20" t="s">
        <v>204</v>
      </c>
      <c r="C107" s="20" t="s">
        <v>352</v>
      </c>
      <c r="D107" s="21" t="s">
        <v>81</v>
      </c>
      <c r="E107" s="31" t="s">
        <v>235</v>
      </c>
      <c r="F107" s="20" t="s">
        <v>120</v>
      </c>
      <c r="G107" s="23" t="s">
        <v>30</v>
      </c>
      <c r="H107" s="24" t="s">
        <v>64</v>
      </c>
      <c r="I107" s="24" t="s">
        <v>121</v>
      </c>
      <c r="J107" s="24" t="s">
        <v>117</v>
      </c>
      <c r="K107" s="24" t="s">
        <v>116</v>
      </c>
      <c r="L107" s="20"/>
    </row>
    <row r="108" customFormat="false" ht="15" hidden="false" customHeight="false" outlineLevel="0" collapsed="false">
      <c r="A108" s="25" t="s">
        <v>353</v>
      </c>
      <c r="B108" s="26" t="s">
        <v>204</v>
      </c>
      <c r="C108" s="26" t="s">
        <v>354</v>
      </c>
      <c r="D108" s="27" t="s">
        <v>81</v>
      </c>
      <c r="E108" s="32" t="s">
        <v>235</v>
      </c>
      <c r="F108" s="26" t="s">
        <v>120</v>
      </c>
      <c r="G108" s="29" t="s">
        <v>30</v>
      </c>
      <c r="H108" s="30" t="s">
        <v>115</v>
      </c>
      <c r="I108" s="30" t="s">
        <v>121</v>
      </c>
      <c r="J108" s="30" t="s">
        <v>117</v>
      </c>
      <c r="K108" s="30" t="s">
        <v>116</v>
      </c>
      <c r="L108" s="26"/>
    </row>
    <row r="109" customFormat="false" ht="15" hidden="false" customHeight="false" outlineLevel="0" collapsed="false">
      <c r="A109" s="19" t="s">
        <v>355</v>
      </c>
      <c r="B109" s="20" t="s">
        <v>204</v>
      </c>
      <c r="C109" s="20" t="s">
        <v>356</v>
      </c>
      <c r="D109" s="21" t="s">
        <v>81</v>
      </c>
      <c r="E109" s="31" t="s">
        <v>235</v>
      </c>
      <c r="F109" s="20" t="s">
        <v>208</v>
      </c>
      <c r="G109" s="23" t="s">
        <v>28</v>
      </c>
      <c r="H109" s="24" t="s">
        <v>56</v>
      </c>
      <c r="I109" s="24" t="s">
        <v>121</v>
      </c>
      <c r="J109" s="24" t="s">
        <v>117</v>
      </c>
      <c r="K109" s="24" t="s">
        <v>116</v>
      </c>
      <c r="L109" s="20"/>
    </row>
    <row r="110" customFormat="false" ht="15" hidden="false" customHeight="false" outlineLevel="0" collapsed="false">
      <c r="A110" s="25" t="s">
        <v>357</v>
      </c>
      <c r="B110" s="26" t="s">
        <v>287</v>
      </c>
      <c r="C110" s="26" t="s">
        <v>358</v>
      </c>
      <c r="D110" s="27" t="s">
        <v>81</v>
      </c>
      <c r="E110" s="32" t="s">
        <v>235</v>
      </c>
      <c r="F110" s="26" t="s">
        <v>120</v>
      </c>
      <c r="G110" s="29" t="s">
        <v>28</v>
      </c>
      <c r="H110" s="30" t="s">
        <v>56</v>
      </c>
      <c r="I110" s="30" t="s">
        <v>121</v>
      </c>
      <c r="J110" s="30" t="s">
        <v>117</v>
      </c>
      <c r="K110" s="30" t="s">
        <v>116</v>
      </c>
      <c r="L110" s="26"/>
    </row>
    <row r="111" customFormat="false" ht="15" hidden="false" customHeight="false" outlineLevel="0" collapsed="false">
      <c r="A111" s="19" t="s">
        <v>359</v>
      </c>
      <c r="B111" s="20" t="s">
        <v>287</v>
      </c>
      <c r="C111" s="20" t="s">
        <v>360</v>
      </c>
      <c r="D111" s="21" t="s">
        <v>81</v>
      </c>
      <c r="E111" s="31" t="s">
        <v>235</v>
      </c>
      <c r="F111" s="20" t="s">
        <v>120</v>
      </c>
      <c r="G111" s="23" t="s">
        <v>28</v>
      </c>
      <c r="H111" s="24" t="s">
        <v>56</v>
      </c>
      <c r="I111" s="24" t="s">
        <v>121</v>
      </c>
      <c r="J111" s="24" t="s">
        <v>117</v>
      </c>
      <c r="K111" s="24" t="s">
        <v>116</v>
      </c>
      <c r="L111" s="20"/>
    </row>
    <row r="112" customFormat="false" ht="15" hidden="false" customHeight="false" outlineLevel="0" collapsed="false">
      <c r="A112" s="25" t="s">
        <v>361</v>
      </c>
      <c r="B112" s="26" t="s">
        <v>287</v>
      </c>
      <c r="C112" s="26" t="s">
        <v>362</v>
      </c>
      <c r="D112" s="27" t="s">
        <v>81</v>
      </c>
      <c r="E112" s="29" t="s">
        <v>340</v>
      </c>
      <c r="F112" s="26" t="s">
        <v>120</v>
      </c>
      <c r="G112" s="29" t="s">
        <v>26</v>
      </c>
      <c r="H112" s="30" t="s">
        <v>115</v>
      </c>
      <c r="I112" s="30" t="s">
        <v>121</v>
      </c>
      <c r="J112" s="30" t="s">
        <v>117</v>
      </c>
      <c r="K112" s="30" t="s">
        <v>116</v>
      </c>
      <c r="L112" s="26"/>
    </row>
    <row r="113" customFormat="false" ht="15" hidden="false" customHeight="false" outlineLevel="0" collapsed="false">
      <c r="A113" s="19" t="s">
        <v>363</v>
      </c>
      <c r="B113" s="20" t="s">
        <v>287</v>
      </c>
      <c r="C113" s="20" t="s">
        <v>364</v>
      </c>
      <c r="D113" s="21" t="s">
        <v>81</v>
      </c>
      <c r="E113" s="31" t="s">
        <v>235</v>
      </c>
      <c r="F113" s="20" t="s">
        <v>154</v>
      </c>
      <c r="G113" s="23" t="s">
        <v>28</v>
      </c>
      <c r="H113" s="24" t="s">
        <v>56</v>
      </c>
      <c r="I113" s="24" t="s">
        <v>116</v>
      </c>
      <c r="J113" s="24" t="s">
        <v>117</v>
      </c>
      <c r="K113" s="24" t="s">
        <v>116</v>
      </c>
      <c r="L113" s="20"/>
    </row>
    <row r="114" customFormat="false" ht="15" hidden="false" customHeight="false" outlineLevel="0" collapsed="false">
      <c r="A114" s="25" t="s">
        <v>365</v>
      </c>
      <c r="B114" s="26" t="s">
        <v>296</v>
      </c>
      <c r="C114" s="26" t="s">
        <v>366</v>
      </c>
      <c r="D114" s="27" t="s">
        <v>81</v>
      </c>
      <c r="E114" s="28" t="s">
        <v>113</v>
      </c>
      <c r="F114" s="26" t="s">
        <v>120</v>
      </c>
      <c r="G114" s="29" t="s">
        <v>28</v>
      </c>
      <c r="H114" s="30" t="s">
        <v>64</v>
      </c>
      <c r="I114" s="30" t="s">
        <v>121</v>
      </c>
      <c r="J114" s="30" t="s">
        <v>117</v>
      </c>
      <c r="K114" s="30" t="s">
        <v>116</v>
      </c>
      <c r="L114" s="26"/>
    </row>
    <row r="115" customFormat="false" ht="15" hidden="false" customHeight="false" outlineLevel="0" collapsed="false">
      <c r="A115" s="19" t="s">
        <v>367</v>
      </c>
      <c r="B115" s="20" t="s">
        <v>296</v>
      </c>
      <c r="C115" s="20" t="s">
        <v>368</v>
      </c>
      <c r="D115" s="21" t="s">
        <v>81</v>
      </c>
      <c r="E115" s="31" t="s">
        <v>235</v>
      </c>
      <c r="F115" s="20" t="s">
        <v>120</v>
      </c>
      <c r="G115" s="23" t="s">
        <v>28</v>
      </c>
      <c r="H115" s="24" t="s">
        <v>56</v>
      </c>
      <c r="I115" s="24" t="s">
        <v>121</v>
      </c>
      <c r="J115" s="24" t="s">
        <v>117</v>
      </c>
      <c r="K115" s="24" t="s">
        <v>116</v>
      </c>
      <c r="L115" s="20"/>
    </row>
    <row r="116" customFormat="false" ht="15" hidden="false" customHeight="false" outlineLevel="0" collapsed="false">
      <c r="A116" s="25" t="s">
        <v>369</v>
      </c>
      <c r="B116" s="26" t="s">
        <v>296</v>
      </c>
      <c r="C116" s="26" t="s">
        <v>370</v>
      </c>
      <c r="D116" s="27" t="s">
        <v>81</v>
      </c>
      <c r="E116" s="28" t="s">
        <v>113</v>
      </c>
      <c r="F116" s="26" t="s">
        <v>120</v>
      </c>
      <c r="G116" s="29" t="s">
        <v>28</v>
      </c>
      <c r="H116" s="30" t="s">
        <v>64</v>
      </c>
      <c r="I116" s="30" t="s">
        <v>121</v>
      </c>
      <c r="J116" s="30" t="s">
        <v>117</v>
      </c>
      <c r="K116" s="30" t="s">
        <v>116</v>
      </c>
      <c r="L116" s="26"/>
    </row>
    <row r="117" customFormat="false" ht="15" hidden="false" customHeight="false" outlineLevel="0" collapsed="false">
      <c r="A117" s="19" t="s">
        <v>371</v>
      </c>
      <c r="B117" s="20" t="s">
        <v>296</v>
      </c>
      <c r="C117" s="20" t="s">
        <v>372</v>
      </c>
      <c r="D117" s="21" t="s">
        <v>81</v>
      </c>
      <c r="E117" s="31" t="s">
        <v>235</v>
      </c>
      <c r="F117" s="20" t="s">
        <v>120</v>
      </c>
      <c r="G117" s="23" t="s">
        <v>28</v>
      </c>
      <c r="H117" s="24" t="s">
        <v>56</v>
      </c>
      <c r="I117" s="24" t="s">
        <v>121</v>
      </c>
      <c r="J117" s="24" t="s">
        <v>117</v>
      </c>
      <c r="K117" s="24" t="s">
        <v>116</v>
      </c>
      <c r="L117" s="20"/>
    </row>
    <row r="118" customFormat="false" ht="15" hidden="false" customHeight="false" outlineLevel="0" collapsed="false">
      <c r="A118" s="25" t="s">
        <v>373</v>
      </c>
      <c r="B118" s="26" t="s">
        <v>305</v>
      </c>
      <c r="C118" s="26" t="s">
        <v>374</v>
      </c>
      <c r="D118" s="27" t="s">
        <v>81</v>
      </c>
      <c r="E118" s="32" t="s">
        <v>235</v>
      </c>
      <c r="F118" s="26" t="s">
        <v>208</v>
      </c>
      <c r="G118" s="29" t="s">
        <v>28</v>
      </c>
      <c r="H118" s="30" t="s">
        <v>56</v>
      </c>
      <c r="I118" s="30" t="s">
        <v>121</v>
      </c>
      <c r="J118" s="30" t="s">
        <v>117</v>
      </c>
      <c r="K118" s="30" t="s">
        <v>116</v>
      </c>
      <c r="L118" s="26"/>
    </row>
    <row r="119" customFormat="false" ht="15" hidden="false" customHeight="false" outlineLevel="0" collapsed="false">
      <c r="A119" s="19" t="s">
        <v>375</v>
      </c>
      <c r="B119" s="20" t="s">
        <v>305</v>
      </c>
      <c r="C119" s="20" t="s">
        <v>376</v>
      </c>
      <c r="D119" s="21" t="s">
        <v>81</v>
      </c>
      <c r="E119" s="22" t="s">
        <v>113</v>
      </c>
      <c r="F119" s="20" t="s">
        <v>120</v>
      </c>
      <c r="G119" s="23" t="s">
        <v>20</v>
      </c>
      <c r="H119" s="24" t="s">
        <v>56</v>
      </c>
      <c r="I119" s="24" t="s">
        <v>121</v>
      </c>
      <c r="J119" s="24" t="s">
        <v>117</v>
      </c>
      <c r="K119" s="24" t="s">
        <v>116</v>
      </c>
      <c r="L119" s="20"/>
    </row>
    <row r="120" customFormat="false" ht="15" hidden="false" customHeight="false" outlineLevel="0" collapsed="false">
      <c r="A120" s="25" t="s">
        <v>377</v>
      </c>
      <c r="B120" s="26" t="s">
        <v>305</v>
      </c>
      <c r="C120" s="26" t="s">
        <v>378</v>
      </c>
      <c r="D120" s="27" t="s">
        <v>81</v>
      </c>
      <c r="E120" s="32" t="s">
        <v>235</v>
      </c>
      <c r="F120" s="26" t="s">
        <v>208</v>
      </c>
      <c r="G120" s="29" t="s">
        <v>28</v>
      </c>
      <c r="H120" s="30" t="s">
        <v>64</v>
      </c>
      <c r="I120" s="30" t="s">
        <v>121</v>
      </c>
      <c r="J120" s="30" t="s">
        <v>117</v>
      </c>
      <c r="K120" s="30" t="s">
        <v>116</v>
      </c>
      <c r="L120" s="26"/>
    </row>
    <row r="121" customFormat="false" ht="15" hidden="false" customHeight="false" outlineLevel="0" collapsed="false">
      <c r="A121" s="19" t="s">
        <v>379</v>
      </c>
      <c r="B121" s="20" t="s">
        <v>176</v>
      </c>
      <c r="C121" s="20" t="s">
        <v>380</v>
      </c>
      <c r="D121" s="21" t="s">
        <v>81</v>
      </c>
      <c r="E121" s="22" t="s">
        <v>113</v>
      </c>
      <c r="F121" s="20" t="s">
        <v>176</v>
      </c>
      <c r="G121" s="23" t="s">
        <v>30</v>
      </c>
      <c r="H121" s="24" t="s">
        <v>64</v>
      </c>
      <c r="I121" s="24" t="s">
        <v>121</v>
      </c>
      <c r="J121" s="24" t="s">
        <v>117</v>
      </c>
      <c r="K121" s="24" t="s">
        <v>116</v>
      </c>
      <c r="L121" s="20"/>
    </row>
    <row r="122" customFormat="false" ht="15" hidden="false" customHeight="false" outlineLevel="0" collapsed="false">
      <c r="A122" s="25" t="s">
        <v>381</v>
      </c>
      <c r="B122" s="26" t="s">
        <v>176</v>
      </c>
      <c r="C122" s="26" t="s">
        <v>382</v>
      </c>
      <c r="D122" s="27" t="s">
        <v>81</v>
      </c>
      <c r="E122" s="32" t="s">
        <v>235</v>
      </c>
      <c r="F122" s="26" t="s">
        <v>176</v>
      </c>
      <c r="G122" s="29" t="s">
        <v>22</v>
      </c>
      <c r="H122" s="30" t="s">
        <v>56</v>
      </c>
      <c r="I122" s="30" t="s">
        <v>121</v>
      </c>
      <c r="J122" s="30" t="s">
        <v>117</v>
      </c>
      <c r="K122" s="30" t="s">
        <v>116</v>
      </c>
      <c r="L122" s="26"/>
    </row>
    <row r="123" customFormat="false" ht="15" hidden="false" customHeight="false" outlineLevel="0" collapsed="false">
      <c r="A123" s="19" t="s">
        <v>383</v>
      </c>
      <c r="B123" s="20" t="s">
        <v>384</v>
      </c>
      <c r="C123" s="20" t="s">
        <v>385</v>
      </c>
      <c r="D123" s="21" t="s">
        <v>81</v>
      </c>
      <c r="E123" s="31" t="s">
        <v>235</v>
      </c>
      <c r="F123" s="20" t="s">
        <v>384</v>
      </c>
      <c r="G123" s="23" t="s">
        <v>20</v>
      </c>
      <c r="H123" s="24" t="s">
        <v>64</v>
      </c>
      <c r="I123" s="24" t="s">
        <v>121</v>
      </c>
      <c r="J123" s="24" t="s">
        <v>117</v>
      </c>
      <c r="K123" s="24" t="s">
        <v>116</v>
      </c>
      <c r="L123" s="20"/>
    </row>
    <row r="124" customFormat="false" ht="15" hidden="false" customHeight="false" outlineLevel="0" collapsed="false">
      <c r="A124" s="25" t="s">
        <v>386</v>
      </c>
      <c r="B124" s="26" t="s">
        <v>384</v>
      </c>
      <c r="C124" s="26" t="s">
        <v>387</v>
      </c>
      <c r="D124" s="27" t="s">
        <v>81</v>
      </c>
      <c r="E124" s="32" t="s">
        <v>235</v>
      </c>
      <c r="F124" s="26" t="s">
        <v>384</v>
      </c>
      <c r="G124" s="29" t="s">
        <v>20</v>
      </c>
      <c r="H124" s="30" t="s">
        <v>56</v>
      </c>
      <c r="I124" s="30" t="s">
        <v>121</v>
      </c>
      <c r="J124" s="30" t="s">
        <v>117</v>
      </c>
      <c r="K124" s="30" t="s">
        <v>116</v>
      </c>
      <c r="L124" s="26"/>
    </row>
    <row r="125" customFormat="false" ht="15" hidden="false" customHeight="false" outlineLevel="0" collapsed="false">
      <c r="A125" s="19" t="s">
        <v>388</v>
      </c>
      <c r="B125" s="20" t="s">
        <v>384</v>
      </c>
      <c r="C125" s="20" t="s">
        <v>389</v>
      </c>
      <c r="D125" s="21" t="s">
        <v>81</v>
      </c>
      <c r="E125" s="31" t="s">
        <v>235</v>
      </c>
      <c r="F125" s="20" t="s">
        <v>384</v>
      </c>
      <c r="G125" s="23" t="s">
        <v>20</v>
      </c>
      <c r="H125" s="24" t="s">
        <v>56</v>
      </c>
      <c r="I125" s="24" t="s">
        <v>121</v>
      </c>
      <c r="J125" s="24" t="s">
        <v>117</v>
      </c>
      <c r="K125" s="24" t="s">
        <v>116</v>
      </c>
      <c r="L125" s="20"/>
    </row>
    <row r="126" customFormat="false" ht="15" hidden="false" customHeight="false" outlineLevel="0" collapsed="false">
      <c r="A126" s="25" t="s">
        <v>390</v>
      </c>
      <c r="B126" s="26" t="s">
        <v>384</v>
      </c>
      <c r="C126" s="26" t="s">
        <v>391</v>
      </c>
      <c r="D126" s="27" t="s">
        <v>81</v>
      </c>
      <c r="E126" s="28" t="s">
        <v>113</v>
      </c>
      <c r="F126" s="26" t="s">
        <v>176</v>
      </c>
      <c r="G126" s="29" t="s">
        <v>20</v>
      </c>
      <c r="H126" s="30" t="s">
        <v>56</v>
      </c>
      <c r="I126" s="30" t="s">
        <v>121</v>
      </c>
      <c r="J126" s="30" t="s">
        <v>117</v>
      </c>
      <c r="K126" s="30" t="s">
        <v>116</v>
      </c>
      <c r="L126" s="26"/>
    </row>
    <row r="127" customFormat="false" ht="15" hidden="false" customHeight="false" outlineLevel="0" collapsed="false">
      <c r="A127" s="19" t="s">
        <v>392</v>
      </c>
      <c r="B127" s="20" t="s">
        <v>136</v>
      </c>
      <c r="C127" s="20" t="s">
        <v>393</v>
      </c>
      <c r="D127" s="21" t="s">
        <v>81</v>
      </c>
      <c r="E127" s="31" t="s">
        <v>235</v>
      </c>
      <c r="F127" s="20" t="s">
        <v>208</v>
      </c>
      <c r="G127" s="23" t="s">
        <v>20</v>
      </c>
      <c r="H127" s="24" t="s">
        <v>56</v>
      </c>
      <c r="I127" s="24" t="s">
        <v>121</v>
      </c>
      <c r="J127" s="24" t="s">
        <v>117</v>
      </c>
      <c r="K127" s="24" t="s">
        <v>116</v>
      </c>
      <c r="L127" s="20"/>
    </row>
    <row r="128" customFormat="false" ht="15" hidden="false" customHeight="false" outlineLevel="0" collapsed="false">
      <c r="A128" s="25" t="s">
        <v>394</v>
      </c>
      <c r="B128" s="26" t="s">
        <v>222</v>
      </c>
      <c r="C128" s="26" t="s">
        <v>395</v>
      </c>
      <c r="D128" s="27" t="s">
        <v>81</v>
      </c>
      <c r="E128" s="32" t="s">
        <v>235</v>
      </c>
      <c r="F128" s="26" t="s">
        <v>176</v>
      </c>
      <c r="G128" s="29" t="s">
        <v>20</v>
      </c>
      <c r="H128" s="30" t="s">
        <v>183</v>
      </c>
      <c r="I128" s="30" t="s">
        <v>121</v>
      </c>
      <c r="J128" s="30" t="s">
        <v>117</v>
      </c>
      <c r="K128" s="30" t="s">
        <v>116</v>
      </c>
      <c r="L128" s="26"/>
    </row>
    <row r="129" customFormat="false" ht="15" hidden="false" customHeight="false" outlineLevel="0" collapsed="false">
      <c r="A129" s="19" t="s">
        <v>396</v>
      </c>
      <c r="B129" s="20" t="s">
        <v>397</v>
      </c>
      <c r="C129" s="20" t="s">
        <v>398</v>
      </c>
      <c r="D129" s="21" t="s">
        <v>81</v>
      </c>
      <c r="E129" s="31" t="s">
        <v>235</v>
      </c>
      <c r="F129" s="20" t="s">
        <v>120</v>
      </c>
      <c r="G129" s="23" t="s">
        <v>20</v>
      </c>
      <c r="H129" s="24" t="s">
        <v>115</v>
      </c>
      <c r="I129" s="24" t="s">
        <v>121</v>
      </c>
      <c r="J129" s="24" t="s">
        <v>117</v>
      </c>
      <c r="K129" s="24" t="s">
        <v>116</v>
      </c>
      <c r="L129" s="20"/>
    </row>
    <row r="130" customFormat="false" ht="15" hidden="false" customHeight="false" outlineLevel="0" collapsed="false">
      <c r="A130" s="25" t="s">
        <v>399</v>
      </c>
      <c r="B130" s="26" t="s">
        <v>400</v>
      </c>
      <c r="C130" s="26" t="s">
        <v>401</v>
      </c>
      <c r="D130" s="27" t="s">
        <v>81</v>
      </c>
      <c r="E130" s="32" t="s">
        <v>235</v>
      </c>
      <c r="F130" s="26" t="s">
        <v>402</v>
      </c>
      <c r="G130" s="29" t="s">
        <v>20</v>
      </c>
      <c r="H130" s="30" t="s">
        <v>56</v>
      </c>
      <c r="I130" s="30" t="s">
        <v>116</v>
      </c>
      <c r="J130" s="30" t="s">
        <v>117</v>
      </c>
      <c r="K130" s="30" t="s">
        <v>116</v>
      </c>
      <c r="L130" s="26"/>
    </row>
    <row r="131" customFormat="false" ht="15" hidden="false" customHeight="false" outlineLevel="0" collapsed="false">
      <c r="A131" s="19" t="s">
        <v>403</v>
      </c>
      <c r="B131" s="20" t="s">
        <v>165</v>
      </c>
      <c r="C131" s="20" t="s">
        <v>404</v>
      </c>
      <c r="D131" s="21" t="s">
        <v>87</v>
      </c>
      <c r="E131" s="23" t="s">
        <v>340</v>
      </c>
      <c r="F131" s="20" t="s">
        <v>120</v>
      </c>
      <c r="G131" s="23" t="s">
        <v>26</v>
      </c>
      <c r="H131" s="24" t="s">
        <v>56</v>
      </c>
      <c r="I131" s="24" t="s">
        <v>121</v>
      </c>
      <c r="J131" s="24" t="s">
        <v>117</v>
      </c>
      <c r="K131" s="24" t="s">
        <v>116</v>
      </c>
      <c r="L131" s="20"/>
    </row>
    <row r="132" customFormat="false" ht="15" hidden="false" customHeight="false" outlineLevel="0" collapsed="false">
      <c r="A132" s="25" t="s">
        <v>405</v>
      </c>
      <c r="B132" s="26" t="s">
        <v>165</v>
      </c>
      <c r="C132" s="26" t="s">
        <v>406</v>
      </c>
      <c r="D132" s="27" t="s">
        <v>87</v>
      </c>
      <c r="E132" s="29" t="s">
        <v>340</v>
      </c>
      <c r="F132" s="26" t="s">
        <v>120</v>
      </c>
      <c r="G132" s="29" t="s">
        <v>26</v>
      </c>
      <c r="H132" s="30" t="s">
        <v>115</v>
      </c>
      <c r="I132" s="30" t="s">
        <v>121</v>
      </c>
      <c r="J132" s="30" t="s">
        <v>117</v>
      </c>
      <c r="K132" s="30" t="s">
        <v>116</v>
      </c>
      <c r="L132" s="26"/>
    </row>
    <row r="133" customFormat="false" ht="15" hidden="false" customHeight="false" outlineLevel="0" collapsed="false">
      <c r="A133" s="19" t="s">
        <v>407</v>
      </c>
      <c r="B133" s="20" t="s">
        <v>172</v>
      </c>
      <c r="C133" s="20" t="s">
        <v>408</v>
      </c>
      <c r="D133" s="21" t="s">
        <v>87</v>
      </c>
      <c r="E133" s="23" t="s">
        <v>340</v>
      </c>
      <c r="F133" s="20" t="s">
        <v>208</v>
      </c>
      <c r="G133" s="23" t="s">
        <v>30</v>
      </c>
      <c r="H133" s="24" t="s">
        <v>115</v>
      </c>
      <c r="I133" s="24" t="s">
        <v>121</v>
      </c>
      <c r="J133" s="24" t="s">
        <v>117</v>
      </c>
      <c r="K133" s="24" t="s">
        <v>116</v>
      </c>
      <c r="L133" s="20"/>
    </row>
    <row r="134" customFormat="false" ht="15" hidden="false" customHeight="false" outlineLevel="0" collapsed="false">
      <c r="A134" s="25" t="s">
        <v>409</v>
      </c>
      <c r="B134" s="26" t="s">
        <v>172</v>
      </c>
      <c r="C134" s="26" t="s">
        <v>410</v>
      </c>
      <c r="D134" s="27" t="s">
        <v>87</v>
      </c>
      <c r="E134" s="29" t="s">
        <v>340</v>
      </c>
      <c r="F134" s="26" t="s">
        <v>120</v>
      </c>
      <c r="G134" s="29" t="s">
        <v>30</v>
      </c>
      <c r="H134" s="30" t="s">
        <v>56</v>
      </c>
      <c r="I134" s="30" t="s">
        <v>121</v>
      </c>
      <c r="J134" s="30" t="s">
        <v>117</v>
      </c>
      <c r="K134" s="30" t="s">
        <v>116</v>
      </c>
      <c r="L134" s="26"/>
    </row>
    <row r="135" customFormat="false" ht="15" hidden="false" customHeight="false" outlineLevel="0" collapsed="false">
      <c r="A135" s="19" t="s">
        <v>411</v>
      </c>
      <c r="B135" s="20" t="s">
        <v>185</v>
      </c>
      <c r="C135" s="20" t="s">
        <v>412</v>
      </c>
      <c r="D135" s="21" t="s">
        <v>87</v>
      </c>
      <c r="E135" s="23" t="s">
        <v>340</v>
      </c>
      <c r="F135" s="20" t="s">
        <v>120</v>
      </c>
      <c r="G135" s="23" t="s">
        <v>28</v>
      </c>
      <c r="H135" s="24" t="s">
        <v>56</v>
      </c>
      <c r="I135" s="24" t="s">
        <v>121</v>
      </c>
      <c r="J135" s="24" t="s">
        <v>117</v>
      </c>
      <c r="K135" s="24" t="s">
        <v>116</v>
      </c>
      <c r="L135" s="20"/>
    </row>
    <row r="136" customFormat="false" ht="15" hidden="false" customHeight="false" outlineLevel="0" collapsed="false">
      <c r="A136" s="25" t="s">
        <v>413</v>
      </c>
      <c r="B136" s="26" t="s">
        <v>185</v>
      </c>
      <c r="C136" s="26" t="s">
        <v>414</v>
      </c>
      <c r="D136" s="27" t="s">
        <v>87</v>
      </c>
      <c r="E136" s="29" t="s">
        <v>340</v>
      </c>
      <c r="F136" s="26" t="s">
        <v>208</v>
      </c>
      <c r="G136" s="29" t="s">
        <v>22</v>
      </c>
      <c r="H136" s="30" t="s">
        <v>115</v>
      </c>
      <c r="I136" s="30" t="s">
        <v>121</v>
      </c>
      <c r="J136" s="30" t="s">
        <v>117</v>
      </c>
      <c r="K136" s="30" t="s">
        <v>116</v>
      </c>
      <c r="L136" s="26"/>
    </row>
    <row r="137" customFormat="false" ht="15" hidden="false" customHeight="false" outlineLevel="0" collapsed="false">
      <c r="A137" s="19" t="s">
        <v>415</v>
      </c>
      <c r="B137" s="20" t="s">
        <v>190</v>
      </c>
      <c r="C137" s="20" t="s">
        <v>416</v>
      </c>
      <c r="D137" s="21" t="s">
        <v>87</v>
      </c>
      <c r="E137" s="23" t="s">
        <v>340</v>
      </c>
      <c r="F137" s="20" t="s">
        <v>208</v>
      </c>
      <c r="G137" s="23" t="s">
        <v>20</v>
      </c>
      <c r="H137" s="24" t="s">
        <v>115</v>
      </c>
      <c r="I137" s="24" t="s">
        <v>121</v>
      </c>
      <c r="J137" s="24" t="s">
        <v>117</v>
      </c>
      <c r="K137" s="24" t="s">
        <v>116</v>
      </c>
      <c r="L137" s="20"/>
    </row>
    <row r="138" customFormat="false" ht="15" hidden="false" customHeight="false" outlineLevel="0" collapsed="false">
      <c r="A138" s="25" t="s">
        <v>417</v>
      </c>
      <c r="B138" s="26" t="s">
        <v>204</v>
      </c>
      <c r="C138" s="26" t="s">
        <v>418</v>
      </c>
      <c r="D138" s="27" t="s">
        <v>87</v>
      </c>
      <c r="E138" s="29" t="s">
        <v>340</v>
      </c>
      <c r="F138" s="26" t="s">
        <v>120</v>
      </c>
      <c r="G138" s="29" t="s">
        <v>28</v>
      </c>
      <c r="H138" s="30" t="s">
        <v>56</v>
      </c>
      <c r="I138" s="30" t="s">
        <v>121</v>
      </c>
      <c r="J138" s="30" t="s">
        <v>117</v>
      </c>
      <c r="K138" s="30" t="s">
        <v>116</v>
      </c>
      <c r="L138" s="26"/>
    </row>
    <row r="139" customFormat="false" ht="15" hidden="false" customHeight="false" outlineLevel="0" collapsed="false">
      <c r="A139" s="19" t="s">
        <v>419</v>
      </c>
      <c r="B139" s="20" t="s">
        <v>204</v>
      </c>
      <c r="C139" s="20" t="s">
        <v>420</v>
      </c>
      <c r="D139" s="21" t="s">
        <v>87</v>
      </c>
      <c r="E139" s="31" t="s">
        <v>235</v>
      </c>
      <c r="F139" s="20" t="s">
        <v>154</v>
      </c>
      <c r="G139" s="23" t="s">
        <v>26</v>
      </c>
      <c r="H139" s="24" t="s">
        <v>56</v>
      </c>
      <c r="I139" s="24" t="s">
        <v>116</v>
      </c>
      <c r="J139" s="24" t="s">
        <v>117</v>
      </c>
      <c r="K139" s="24" t="s">
        <v>116</v>
      </c>
      <c r="L139" s="20"/>
    </row>
    <row r="140" customFormat="false" ht="15" hidden="false" customHeight="false" outlineLevel="0" collapsed="false">
      <c r="A140" s="25" t="s">
        <v>421</v>
      </c>
      <c r="B140" s="26" t="s">
        <v>287</v>
      </c>
      <c r="C140" s="26" t="s">
        <v>422</v>
      </c>
      <c r="D140" s="27" t="s">
        <v>87</v>
      </c>
      <c r="E140" s="29" t="s">
        <v>340</v>
      </c>
      <c r="F140" s="26" t="s">
        <v>208</v>
      </c>
      <c r="G140" s="29" t="s">
        <v>28</v>
      </c>
      <c r="H140" s="30" t="s">
        <v>115</v>
      </c>
      <c r="I140" s="30" t="s">
        <v>121</v>
      </c>
      <c r="J140" s="30" t="s">
        <v>117</v>
      </c>
      <c r="K140" s="30" t="s">
        <v>116</v>
      </c>
      <c r="L140" s="26"/>
    </row>
    <row r="141" customFormat="false" ht="15" hidden="false" customHeight="false" outlineLevel="0" collapsed="false">
      <c r="A141" s="19" t="s">
        <v>423</v>
      </c>
      <c r="B141" s="20" t="s">
        <v>287</v>
      </c>
      <c r="C141" s="20" t="s">
        <v>424</v>
      </c>
      <c r="D141" s="21" t="s">
        <v>87</v>
      </c>
      <c r="E141" s="23" t="s">
        <v>340</v>
      </c>
      <c r="F141" s="20" t="s">
        <v>120</v>
      </c>
      <c r="G141" s="23" t="s">
        <v>28</v>
      </c>
      <c r="H141" s="24" t="s">
        <v>56</v>
      </c>
      <c r="I141" s="24" t="s">
        <v>121</v>
      </c>
      <c r="J141" s="24" t="s">
        <v>117</v>
      </c>
      <c r="K141" s="24" t="s">
        <v>116</v>
      </c>
      <c r="L141" s="20"/>
    </row>
    <row r="142" customFormat="false" ht="15" hidden="false" customHeight="false" outlineLevel="0" collapsed="false">
      <c r="A142" s="25" t="s">
        <v>425</v>
      </c>
      <c r="B142" s="26" t="s">
        <v>296</v>
      </c>
      <c r="C142" s="26" t="s">
        <v>426</v>
      </c>
      <c r="D142" s="27" t="s">
        <v>87</v>
      </c>
      <c r="E142" s="29" t="s">
        <v>340</v>
      </c>
      <c r="F142" s="26" t="s">
        <v>208</v>
      </c>
      <c r="G142" s="29" t="s">
        <v>28</v>
      </c>
      <c r="H142" s="30" t="s">
        <v>64</v>
      </c>
      <c r="I142" s="30" t="s">
        <v>121</v>
      </c>
      <c r="J142" s="30" t="s">
        <v>117</v>
      </c>
      <c r="K142" s="30" t="s">
        <v>116</v>
      </c>
      <c r="L142" s="26"/>
    </row>
    <row r="143" customFormat="false" ht="15" hidden="false" customHeight="false" outlineLevel="0" collapsed="false">
      <c r="A143" s="19" t="s">
        <v>427</v>
      </c>
      <c r="B143" s="20" t="s">
        <v>296</v>
      </c>
      <c r="C143" s="20" t="s">
        <v>428</v>
      </c>
      <c r="D143" s="21" t="s">
        <v>87</v>
      </c>
      <c r="E143" s="23" t="s">
        <v>340</v>
      </c>
      <c r="F143" s="20" t="s">
        <v>120</v>
      </c>
      <c r="G143" s="23" t="s">
        <v>28</v>
      </c>
      <c r="H143" s="24" t="s">
        <v>64</v>
      </c>
      <c r="I143" s="24" t="s">
        <v>121</v>
      </c>
      <c r="J143" s="24" t="s">
        <v>117</v>
      </c>
      <c r="K143" s="24" t="s">
        <v>116</v>
      </c>
      <c r="L143" s="20"/>
    </row>
    <row r="144" customFormat="false" ht="15" hidden="false" customHeight="false" outlineLevel="0" collapsed="false">
      <c r="A144" s="25" t="s">
        <v>429</v>
      </c>
      <c r="B144" s="26" t="s">
        <v>305</v>
      </c>
      <c r="C144" s="26" t="s">
        <v>430</v>
      </c>
      <c r="D144" s="27" t="s">
        <v>87</v>
      </c>
      <c r="E144" s="29" t="s">
        <v>340</v>
      </c>
      <c r="F144" s="26" t="s">
        <v>120</v>
      </c>
      <c r="G144" s="29" t="s">
        <v>26</v>
      </c>
      <c r="H144" s="30" t="s">
        <v>56</v>
      </c>
      <c r="I144" s="30" t="s">
        <v>121</v>
      </c>
      <c r="J144" s="30" t="s">
        <v>117</v>
      </c>
      <c r="K144" s="30" t="s">
        <v>116</v>
      </c>
      <c r="L144" s="26"/>
    </row>
    <row r="145" customFormat="false" ht="15" hidden="false" customHeight="false" outlineLevel="0" collapsed="false">
      <c r="A145" s="19" t="s">
        <v>431</v>
      </c>
      <c r="B145" s="20" t="s">
        <v>305</v>
      </c>
      <c r="C145" s="20" t="s">
        <v>432</v>
      </c>
      <c r="D145" s="21" t="s">
        <v>87</v>
      </c>
      <c r="E145" s="23" t="s">
        <v>340</v>
      </c>
      <c r="F145" s="20" t="s">
        <v>120</v>
      </c>
      <c r="G145" s="23" t="s">
        <v>28</v>
      </c>
      <c r="H145" s="24" t="s">
        <v>56</v>
      </c>
      <c r="I145" s="24" t="s">
        <v>121</v>
      </c>
      <c r="J145" s="24" t="s">
        <v>117</v>
      </c>
      <c r="K145" s="24" t="s">
        <v>116</v>
      </c>
      <c r="L145" s="20"/>
    </row>
    <row r="146" customFormat="false" ht="15" hidden="false" customHeight="false" outlineLevel="0" collapsed="false">
      <c r="A146" s="25" t="s">
        <v>433</v>
      </c>
      <c r="B146" s="26" t="s">
        <v>305</v>
      </c>
      <c r="C146" s="26" t="s">
        <v>434</v>
      </c>
      <c r="D146" s="27" t="s">
        <v>87</v>
      </c>
      <c r="E146" s="28" t="s">
        <v>113</v>
      </c>
      <c r="F146" s="26" t="s">
        <v>154</v>
      </c>
      <c r="G146" s="29" t="s">
        <v>20</v>
      </c>
      <c r="H146" s="30" t="s">
        <v>64</v>
      </c>
      <c r="I146" s="30" t="s">
        <v>121</v>
      </c>
      <c r="J146" s="30" t="s">
        <v>117</v>
      </c>
      <c r="K146" s="30" t="s">
        <v>116</v>
      </c>
      <c r="L146" s="26"/>
    </row>
    <row r="147" customFormat="false" ht="15" hidden="false" customHeight="false" outlineLevel="0" collapsed="false">
      <c r="A147" s="19" t="s">
        <v>435</v>
      </c>
      <c r="B147" s="20" t="s">
        <v>305</v>
      </c>
      <c r="C147" s="20" t="s">
        <v>436</v>
      </c>
      <c r="D147" s="21" t="s">
        <v>87</v>
      </c>
      <c r="E147" s="31" t="s">
        <v>235</v>
      </c>
      <c r="F147" s="20" t="s">
        <v>208</v>
      </c>
      <c r="G147" s="23" t="s">
        <v>28</v>
      </c>
      <c r="H147" s="24" t="s">
        <v>56</v>
      </c>
      <c r="I147" s="24" t="s">
        <v>121</v>
      </c>
      <c r="J147" s="24" t="s">
        <v>117</v>
      </c>
      <c r="K147" s="24" t="s">
        <v>116</v>
      </c>
      <c r="L147" s="20"/>
    </row>
    <row r="148" customFormat="false" ht="15" hidden="false" customHeight="false" outlineLevel="0" collapsed="false">
      <c r="A148" s="25" t="s">
        <v>437</v>
      </c>
      <c r="B148" s="26" t="s">
        <v>305</v>
      </c>
      <c r="C148" s="26" t="s">
        <v>438</v>
      </c>
      <c r="D148" s="27" t="s">
        <v>87</v>
      </c>
      <c r="E148" s="29" t="s">
        <v>340</v>
      </c>
      <c r="F148" s="26" t="s">
        <v>120</v>
      </c>
      <c r="G148" s="29" t="s">
        <v>24</v>
      </c>
      <c r="H148" s="30" t="s">
        <v>56</v>
      </c>
      <c r="I148" s="30" t="s">
        <v>121</v>
      </c>
      <c r="J148" s="30" t="s">
        <v>117</v>
      </c>
      <c r="K148" s="30" t="s">
        <v>116</v>
      </c>
      <c r="L148" s="26"/>
    </row>
    <row r="149" customFormat="false" ht="15" hidden="false" customHeight="false" outlineLevel="0" collapsed="false">
      <c r="A149" s="19" t="s">
        <v>439</v>
      </c>
      <c r="B149" s="20" t="s">
        <v>176</v>
      </c>
      <c r="C149" s="20" t="s">
        <v>440</v>
      </c>
      <c r="D149" s="21" t="s">
        <v>87</v>
      </c>
      <c r="E149" s="31" t="s">
        <v>235</v>
      </c>
      <c r="F149" s="20" t="s">
        <v>176</v>
      </c>
      <c r="G149" s="23" t="s">
        <v>20</v>
      </c>
      <c r="H149" s="24" t="s">
        <v>115</v>
      </c>
      <c r="I149" s="24" t="s">
        <v>121</v>
      </c>
      <c r="J149" s="24" t="s">
        <v>117</v>
      </c>
      <c r="K149" s="24" t="s">
        <v>116</v>
      </c>
      <c r="L149" s="20"/>
    </row>
    <row r="150" customFormat="false" ht="15" hidden="false" customHeight="false" outlineLevel="0" collapsed="false">
      <c r="A150" s="25" t="s">
        <v>441</v>
      </c>
      <c r="B150" s="26" t="s">
        <v>384</v>
      </c>
      <c r="C150" s="26" t="s">
        <v>442</v>
      </c>
      <c r="D150" s="27" t="s">
        <v>87</v>
      </c>
      <c r="E150" s="29" t="s">
        <v>340</v>
      </c>
      <c r="F150" s="26" t="s">
        <v>384</v>
      </c>
      <c r="G150" s="29" t="s">
        <v>28</v>
      </c>
      <c r="H150" s="30" t="s">
        <v>115</v>
      </c>
      <c r="I150" s="30" t="s">
        <v>121</v>
      </c>
      <c r="J150" s="30" t="s">
        <v>117</v>
      </c>
      <c r="K150" s="30" t="s">
        <v>116</v>
      </c>
      <c r="L150" s="26"/>
    </row>
    <row r="151" customFormat="false" ht="15" hidden="false" customHeight="false" outlineLevel="0" collapsed="false">
      <c r="A151" s="19" t="s">
        <v>443</v>
      </c>
      <c r="B151" s="20" t="s">
        <v>384</v>
      </c>
      <c r="C151" s="20" t="s">
        <v>444</v>
      </c>
      <c r="D151" s="21" t="s">
        <v>87</v>
      </c>
      <c r="E151" s="23" t="s">
        <v>340</v>
      </c>
      <c r="F151" s="20" t="s">
        <v>384</v>
      </c>
      <c r="G151" s="23" t="s">
        <v>22</v>
      </c>
      <c r="H151" s="24" t="s">
        <v>115</v>
      </c>
      <c r="I151" s="24" t="s">
        <v>121</v>
      </c>
      <c r="J151" s="24" t="s">
        <v>117</v>
      </c>
      <c r="K151" s="24" t="s">
        <v>116</v>
      </c>
      <c r="L151" s="20"/>
    </row>
    <row r="152" customFormat="false" ht="15" hidden="false" customHeight="false" outlineLevel="0" collapsed="false">
      <c r="A152" s="25" t="s">
        <v>445</v>
      </c>
      <c r="B152" s="26" t="s">
        <v>136</v>
      </c>
      <c r="C152" s="26" t="s">
        <v>446</v>
      </c>
      <c r="D152" s="27" t="s">
        <v>87</v>
      </c>
      <c r="E152" s="29" t="s">
        <v>340</v>
      </c>
      <c r="F152" s="26" t="s">
        <v>120</v>
      </c>
      <c r="G152" s="29" t="s">
        <v>20</v>
      </c>
      <c r="H152" s="30" t="s">
        <v>115</v>
      </c>
      <c r="I152" s="30" t="s">
        <v>121</v>
      </c>
      <c r="J152" s="30" t="s">
        <v>117</v>
      </c>
      <c r="K152" s="30" t="s">
        <v>116</v>
      </c>
      <c r="L152" s="26"/>
    </row>
    <row r="153" customFormat="false" ht="15" hidden="false" customHeight="false" outlineLevel="0" collapsed="false">
      <c r="A153" s="19" t="s">
        <v>447</v>
      </c>
      <c r="B153" s="20" t="s">
        <v>448</v>
      </c>
      <c r="C153" s="20" t="s">
        <v>449</v>
      </c>
      <c r="D153" s="21" t="s">
        <v>87</v>
      </c>
      <c r="E153" s="22" t="s">
        <v>113</v>
      </c>
      <c r="F153" s="20" t="s">
        <v>131</v>
      </c>
      <c r="G153" s="23" t="s">
        <v>20</v>
      </c>
      <c r="H153" s="24" t="s">
        <v>64</v>
      </c>
      <c r="I153" s="24" t="s">
        <v>121</v>
      </c>
      <c r="J153" s="24" t="s">
        <v>117</v>
      </c>
      <c r="K153" s="24" t="s">
        <v>116</v>
      </c>
      <c r="L153" s="20"/>
    </row>
    <row r="154" customFormat="false" ht="15" hidden="false" customHeight="false" outlineLevel="0" collapsed="false">
      <c r="A154" s="25" t="s">
        <v>450</v>
      </c>
      <c r="B154" s="26" t="s">
        <v>397</v>
      </c>
      <c r="C154" s="26" t="s">
        <v>451</v>
      </c>
      <c r="D154" s="27" t="s">
        <v>87</v>
      </c>
      <c r="E154" s="29" t="s">
        <v>340</v>
      </c>
      <c r="F154" s="26" t="s">
        <v>176</v>
      </c>
      <c r="G154" s="29" t="s">
        <v>20</v>
      </c>
      <c r="H154" s="30" t="s">
        <v>115</v>
      </c>
      <c r="I154" s="30" t="s">
        <v>121</v>
      </c>
      <c r="J154" s="30" t="s">
        <v>117</v>
      </c>
      <c r="K154" s="30" t="s">
        <v>116</v>
      </c>
      <c r="L154" s="26"/>
    </row>
    <row r="155" customFormat="false" ht="15" hidden="false" customHeight="false" outlineLevel="0" collapsed="false">
      <c r="A155" s="19" t="s">
        <v>452</v>
      </c>
      <c r="B155" s="20" t="s">
        <v>453</v>
      </c>
      <c r="C155" s="20" t="s">
        <v>454</v>
      </c>
      <c r="D155" s="21" t="s">
        <v>87</v>
      </c>
      <c r="E155" s="22" t="s">
        <v>113</v>
      </c>
      <c r="F155" s="20" t="s">
        <v>154</v>
      </c>
      <c r="G155" s="23" t="s">
        <v>26</v>
      </c>
      <c r="H155" s="24" t="s">
        <v>64</v>
      </c>
      <c r="I155" s="24" t="s">
        <v>116</v>
      </c>
      <c r="J155" s="24" t="s">
        <v>117</v>
      </c>
      <c r="K155" s="24" t="s">
        <v>116</v>
      </c>
      <c r="L155" s="20"/>
    </row>
    <row r="156" customFormat="false" ht="15" hidden="false" customHeight="false" outlineLevel="0" collapsed="false">
      <c r="A156" s="25" t="s">
        <v>455</v>
      </c>
      <c r="B156" s="26" t="s">
        <v>237</v>
      </c>
      <c r="C156" s="26" t="s">
        <v>456</v>
      </c>
      <c r="D156" s="27" t="s">
        <v>87</v>
      </c>
      <c r="E156" s="28" t="s">
        <v>113</v>
      </c>
      <c r="F156" s="26" t="s">
        <v>131</v>
      </c>
      <c r="G156" s="29" t="s">
        <v>20</v>
      </c>
      <c r="H156" s="30" t="s">
        <v>56</v>
      </c>
      <c r="I156" s="30" t="s">
        <v>121</v>
      </c>
      <c r="J156" s="30" t="s">
        <v>117</v>
      </c>
      <c r="K156" s="30" t="s">
        <v>116</v>
      </c>
      <c r="L156" s="26"/>
    </row>
  </sheetData>
  <autoFilter ref="A4:L156"/>
  <mergeCells count="2">
    <mergeCell ref="A1:L1"/>
    <mergeCell ref="A2:L2"/>
  </mergeCells>
  <conditionalFormatting sqref="J5:J156">
    <cfRule type="cellIs" priority="2" operator="equal" aboveAverage="0" equalAverage="0" bottom="0" percent="0" rank="0" text="" dxfId="9">
      <formula>"Done"</formula>
    </cfRule>
    <cfRule type="cellIs" priority="3" operator="equal" aboveAverage="0" equalAverage="0" bottom="0" percent="0" rank="0" text="" dxfId="10">
      <formula>"In progress"</formula>
    </cfRule>
    <cfRule type="cellIs" priority="4" operator="equal" aboveAverage="0" equalAverage="0" bottom="0" percent="0" rank="0" text="" dxfId="11">
      <formula>"Blocked"</formula>
    </cfRule>
    <cfRule type="cellIs" priority="5" operator="equal" aboveAverage="0" equalAverage="0" bottom="0" percent="0" rank="0" text="" dxfId="12">
      <formula>"Cut"</formula>
    </cfRule>
  </conditionalFormatting>
  <dataValidations count="2">
    <dataValidation allowBlank="true" errorStyle="stop" operator="between" showDropDown="false" showErrorMessage="false" showInputMessage="false" sqref="J5:J156" type="list">
      <formula1>"Not started,In progress,Blocked,Done,Cut"</formula1>
      <formula2>0</formula2>
    </dataValidation>
    <dataValidation allowBlank="true" errorStyle="stop" operator="between" showDropDown="false" showErrorMessage="false" showInputMessage="false" sqref="K5:K15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A33B"/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13" min="8" style="0" width="6"/>
  </cols>
  <sheetData>
    <row r="1" customFormat="false" ht="30" hidden="false" customHeight="true" outlineLevel="0" collapsed="false">
      <c r="A1" s="1" t="s">
        <v>7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457</v>
      </c>
      <c r="B2" s="2"/>
      <c r="C2" s="2"/>
      <c r="D2" s="2"/>
      <c r="E2" s="2"/>
      <c r="F2" s="2"/>
      <c r="G2" s="2"/>
      <c r="H2" s="2"/>
    </row>
    <row r="4" customFormat="false" ht="53.7" hidden="false" customHeight="false" outlineLevel="0" collapsed="false">
      <c r="A4" s="33" t="s">
        <v>458</v>
      </c>
      <c r="B4" s="34" t="s">
        <v>60</v>
      </c>
      <c r="D4" s="35" t="s">
        <v>459</v>
      </c>
    </row>
    <row r="6" customFormat="false" ht="30" hidden="false" customHeight="true" outlineLevel="0" collapsed="false">
      <c r="A6" s="6" t="s">
        <v>460</v>
      </c>
      <c r="B6" s="6" t="s">
        <v>461</v>
      </c>
      <c r="C6" s="6" t="s">
        <v>462</v>
      </c>
      <c r="D6" s="6" t="s">
        <v>463</v>
      </c>
      <c r="E6" s="6" t="s">
        <v>108</v>
      </c>
      <c r="H6" s="36" t="s">
        <v>464</v>
      </c>
      <c r="I6" s="36" t="s">
        <v>60</v>
      </c>
      <c r="J6" s="36" t="s">
        <v>68</v>
      </c>
      <c r="K6" s="36" t="s">
        <v>73</v>
      </c>
      <c r="L6" s="36" t="s">
        <v>81</v>
      </c>
      <c r="M6" s="36" t="s">
        <v>87</v>
      </c>
    </row>
    <row r="7" customFormat="false" ht="15" hidden="false" customHeight="false" outlineLevel="0" collapsed="false">
      <c r="A7" s="37" t="s">
        <v>465</v>
      </c>
      <c r="B7" s="38" t="n">
        <f aca="false">INDEX($I7:$M7,MATCH($B$4,$I$6:$M$6,0))</f>
        <v>1</v>
      </c>
      <c r="C7" s="39" t="n">
        <v>0</v>
      </c>
      <c r="D7" s="38" t="n">
        <f aca="false">B7-C7</f>
        <v>1</v>
      </c>
      <c r="E7" s="10" t="str">
        <f aca="false">IF(B7=0,IF(C7&gt;0,"OVER — cut","none this milestone"),IF(D7&lt;0,"OVER — stop &amp; playtest",IF(D7=0,"AT CAP",D7&amp;" left")))</f>
        <v>1 left</v>
      </c>
      <c r="H7" s="40" t="s">
        <v>465</v>
      </c>
      <c r="I7" s="41" t="n">
        <v>1</v>
      </c>
      <c r="J7" s="41" t="n">
        <v>1</v>
      </c>
      <c r="K7" s="41" t="n">
        <v>1</v>
      </c>
      <c r="L7" s="41" t="n">
        <v>6</v>
      </c>
      <c r="M7" s="41" t="n">
        <v>6</v>
      </c>
    </row>
    <row r="8" customFormat="false" ht="15" hidden="false" customHeight="false" outlineLevel="0" collapsed="false">
      <c r="A8" s="42" t="s">
        <v>466</v>
      </c>
      <c r="B8" s="43" t="n">
        <f aca="false">INDEX($I8:$M8,MATCH($B$4,$I$6:$M$6,0))</f>
        <v>8</v>
      </c>
      <c r="C8" s="44" t="n">
        <v>0</v>
      </c>
      <c r="D8" s="43" t="n">
        <f aca="false">B8-C8</f>
        <v>8</v>
      </c>
      <c r="E8" s="15" t="str">
        <f aca="false">IF(B8=0,IF(C8&gt;0,"OVER — cut","none this milestone"),IF(D8&lt;0,"OVER — stop &amp; playtest",IF(D8=0,"AT CAP",D8&amp;" left")))</f>
        <v>8 left</v>
      </c>
      <c r="H8" s="40" t="s">
        <v>466</v>
      </c>
      <c r="I8" s="41" t="n">
        <v>8</v>
      </c>
      <c r="J8" s="41" t="n">
        <v>8</v>
      </c>
      <c r="K8" s="41" t="n">
        <v>8</v>
      </c>
      <c r="L8" s="41" t="n">
        <v>60</v>
      </c>
      <c r="M8" s="41" t="n">
        <v>60</v>
      </c>
    </row>
    <row r="9" customFormat="false" ht="15" hidden="false" customHeight="false" outlineLevel="0" collapsed="false">
      <c r="A9" s="37" t="s">
        <v>296</v>
      </c>
      <c r="B9" s="38" t="n">
        <f aca="false">INDEX($I9:$M9,MATCH($B$4,$I$6:$M$6,0))</f>
        <v>1</v>
      </c>
      <c r="C9" s="39" t="n">
        <v>0</v>
      </c>
      <c r="D9" s="38" t="n">
        <f aca="false">B9-C9</f>
        <v>1</v>
      </c>
      <c r="E9" s="10" t="str">
        <f aca="false">IF(B9=0,IF(C9&gt;0,"OVER — cut","none this milestone"),IF(D9&lt;0,"OVER — stop &amp; playtest",IF(D9=0,"AT CAP",D9&amp;" left")))</f>
        <v>1 left</v>
      </c>
      <c r="H9" s="40" t="s">
        <v>296</v>
      </c>
      <c r="I9" s="41" t="n">
        <v>1</v>
      </c>
      <c r="J9" s="41" t="n">
        <v>1</v>
      </c>
      <c r="K9" s="41" t="n">
        <v>5</v>
      </c>
      <c r="L9" s="41" t="n">
        <v>100</v>
      </c>
      <c r="M9" s="41" t="n">
        <v>100</v>
      </c>
    </row>
    <row r="10" customFormat="false" ht="15" hidden="false" customHeight="false" outlineLevel="0" collapsed="false">
      <c r="A10" s="42" t="s">
        <v>467</v>
      </c>
      <c r="B10" s="43" t="n">
        <f aca="false">INDEX($I10:$M10,MATCH($B$4,$I$6:$M$6,0))</f>
        <v>0</v>
      </c>
      <c r="C10" s="44" t="n">
        <v>0</v>
      </c>
      <c r="D10" s="43" t="n">
        <f aca="false">B10-C10</f>
        <v>0</v>
      </c>
      <c r="E10" s="15" t="str">
        <f aca="false">IF(B10=0,IF(C10&gt;0,"OVER — cut","none this milestone"),IF(D10&lt;0,"OVER — stop &amp; playtest",IF(D10=0,"AT CAP",D10&amp;" left")))</f>
        <v>none this milestone</v>
      </c>
      <c r="H10" s="40" t="s">
        <v>467</v>
      </c>
      <c r="I10" s="41" t="n">
        <v>0</v>
      </c>
      <c r="J10" s="41" t="n">
        <v>0</v>
      </c>
      <c r="K10" s="41" t="n">
        <v>1</v>
      </c>
      <c r="L10" s="41" t="n">
        <v>6</v>
      </c>
      <c r="M10" s="41" t="n">
        <v>6</v>
      </c>
    </row>
    <row r="11" customFormat="false" ht="15" hidden="false" customHeight="false" outlineLevel="0" collapsed="false">
      <c r="A11" s="37" t="s">
        <v>468</v>
      </c>
      <c r="B11" s="38" t="n">
        <f aca="false">INDEX($I11:$M11,MATCH($B$4,$I$6:$M$6,0))</f>
        <v>2</v>
      </c>
      <c r="C11" s="39" t="n">
        <v>0</v>
      </c>
      <c r="D11" s="38" t="n">
        <f aca="false">B11-C11</f>
        <v>2</v>
      </c>
      <c r="E11" s="10" t="str">
        <f aca="false">IF(B11=0,IF(C11&gt;0,"OVER — cut","none this milestone"),IF(D11&lt;0,"OVER — stop &amp; playtest",IF(D11=0,"AT CAP",D11&amp;" left")))</f>
        <v>2 left</v>
      </c>
      <c r="H11" s="40" t="s">
        <v>468</v>
      </c>
      <c r="I11" s="41" t="n">
        <v>2</v>
      </c>
      <c r="J11" s="41" t="n">
        <v>4</v>
      </c>
      <c r="K11" s="41" t="n">
        <v>4</v>
      </c>
      <c r="L11" s="41" t="n">
        <v>8</v>
      </c>
      <c r="M11" s="41" t="n">
        <v>8</v>
      </c>
    </row>
    <row r="12" customFormat="false" ht="15" hidden="false" customHeight="false" outlineLevel="0" collapsed="false">
      <c r="A12" s="42" t="s">
        <v>190</v>
      </c>
      <c r="B12" s="43" t="n">
        <f aca="false">INDEX($I12:$M12,MATCH($B$4,$I$6:$M$6,0))</f>
        <v>20</v>
      </c>
      <c r="C12" s="44" t="n">
        <v>0</v>
      </c>
      <c r="D12" s="43" t="n">
        <f aca="false">B12-C12</f>
        <v>20</v>
      </c>
      <c r="E12" s="15" t="str">
        <f aca="false">IF(B12=0,IF(C12&gt;0,"OVER — cut","none this milestone"),IF(D12&lt;0,"OVER — stop &amp; playtest",IF(D12=0,"AT CAP",D12&amp;" left")))</f>
        <v>20 left</v>
      </c>
      <c r="H12" s="40" t="s">
        <v>190</v>
      </c>
      <c r="I12" s="41" t="n">
        <v>20</v>
      </c>
      <c r="J12" s="41" t="n">
        <v>35</v>
      </c>
      <c r="K12" s="41" t="n">
        <v>60</v>
      </c>
      <c r="L12" s="41" t="n">
        <v>250</v>
      </c>
      <c r="M12" s="41" t="n">
        <v>250</v>
      </c>
    </row>
    <row r="13" customFormat="false" ht="15" hidden="false" customHeight="false" outlineLevel="0" collapsed="false">
      <c r="A13" s="37" t="s">
        <v>469</v>
      </c>
      <c r="B13" s="38" t="n">
        <f aca="false">INDEX($I13:$M13,MATCH($B$4,$I$6:$M$6,0))</f>
        <v>0</v>
      </c>
      <c r="C13" s="39" t="n">
        <v>0</v>
      </c>
      <c r="D13" s="38" t="n">
        <f aca="false">B13-C13</f>
        <v>0</v>
      </c>
      <c r="E13" s="10" t="str">
        <f aca="false">IF(B13=0,IF(C13&gt;0,"OVER — cut","none this milestone"),IF(D13&lt;0,"OVER — stop &amp; playtest",IF(D13=0,"AT CAP",D13&amp;" left")))</f>
        <v>none this milestone</v>
      </c>
      <c r="H13" s="40" t="s">
        <v>469</v>
      </c>
      <c r="I13" s="41" t="n">
        <v>0</v>
      </c>
      <c r="J13" s="41" t="n">
        <v>0</v>
      </c>
      <c r="K13" s="41" t="n">
        <v>2</v>
      </c>
      <c r="L13" s="41" t="n">
        <v>8</v>
      </c>
      <c r="M13" s="41" t="n">
        <v>8</v>
      </c>
    </row>
    <row r="14" customFormat="false" ht="15" hidden="false" customHeight="false" outlineLevel="0" collapsed="false">
      <c r="A14" s="42" t="s">
        <v>470</v>
      </c>
      <c r="B14" s="43" t="n">
        <f aca="false">INDEX($I14:$M14,MATCH($B$4,$I$6:$M$6,0))</f>
        <v>15</v>
      </c>
      <c r="C14" s="44" t="n">
        <v>0</v>
      </c>
      <c r="D14" s="43" t="n">
        <f aca="false">B14-C14</f>
        <v>15</v>
      </c>
      <c r="E14" s="15" t="str">
        <f aca="false">IF(B14=0,IF(C14&gt;0,"OVER — cut","none this milestone"),IF(D14&lt;0,"OVER — stop &amp; playtest",IF(D14=0,"AT CAP",D14&amp;" left")))</f>
        <v>15 left</v>
      </c>
      <c r="H14" s="40" t="s">
        <v>470</v>
      </c>
      <c r="I14" s="41" t="n">
        <v>15</v>
      </c>
      <c r="J14" s="41" t="n">
        <v>20</v>
      </c>
      <c r="K14" s="41" t="n">
        <v>30</v>
      </c>
      <c r="L14" s="41" t="n">
        <v>120</v>
      </c>
      <c r="M14" s="41" t="n">
        <v>120</v>
      </c>
    </row>
    <row r="15" customFormat="false" ht="15" hidden="false" customHeight="false" outlineLevel="0" collapsed="false">
      <c r="A15" s="37" t="s">
        <v>471</v>
      </c>
      <c r="B15" s="38" t="n">
        <f aca="false">INDEX($I15:$M15,MATCH($B$4,$I$6:$M$6,0))</f>
        <v>6</v>
      </c>
      <c r="C15" s="39" t="n">
        <v>0</v>
      </c>
      <c r="D15" s="38" t="n">
        <f aca="false">B15-C15</f>
        <v>6</v>
      </c>
      <c r="E15" s="10" t="str">
        <f aca="false">IF(B15=0,IF(C15&gt;0,"OVER — cut","none this milestone"),IF(D15&lt;0,"OVER — stop &amp; playtest",IF(D15=0,"AT CAP",D15&amp;" left")))</f>
        <v>6 left</v>
      </c>
      <c r="H15" s="40" t="s">
        <v>471</v>
      </c>
      <c r="I15" s="41" t="n">
        <v>6</v>
      </c>
      <c r="J15" s="41" t="n">
        <v>8</v>
      </c>
      <c r="K15" s="41" t="n">
        <v>10</v>
      </c>
      <c r="L15" s="41" t="n">
        <v>40</v>
      </c>
      <c r="M15" s="41" t="n">
        <v>40</v>
      </c>
    </row>
    <row r="17" customFormat="false" ht="22.35" hidden="false" customHeight="true" outlineLevel="0" collapsed="false">
      <c r="A17" s="45" t="s">
        <v>472</v>
      </c>
      <c r="B17" s="45"/>
      <c r="C17" s="45"/>
      <c r="D17" s="45"/>
      <c r="E17" s="45"/>
    </row>
  </sheetData>
  <mergeCells count="3">
    <mergeCell ref="A1:H1"/>
    <mergeCell ref="A2:H2"/>
    <mergeCell ref="A17:E17"/>
  </mergeCells>
  <conditionalFormatting sqref="D7:D15">
    <cfRule type="cellIs" priority="2" operator="lessThan" aboveAverage="0" equalAverage="0" bottom="0" percent="0" rank="0" text="" dxfId="13">
      <formula>0</formula>
    </cfRule>
    <cfRule type="cellIs" priority="3" operator="equal" aboveAverage="0" equalAverage="0" bottom="0" percent="0" rank="0" text="" dxfId="14">
      <formula>0</formula>
    </cfRule>
  </conditionalFormatting>
  <conditionalFormatting sqref="E7:E15">
    <cfRule type="expression" priority="4" aboveAverage="0" equalAverage="0" bottom="0" percent="0" rank="0" text="" dxfId="13">
      <formula>ISNUMBER(SEARCH("OVER",E7))</formula>
    </cfRule>
    <cfRule type="expression" priority="5" aboveAverage="0" equalAverage="0" bottom="0" percent="0" rank="0" text="" dxfId="14">
      <formula>EXACT(E7,"AT CAP")</formula>
    </cfRule>
  </conditionalFormatting>
  <dataValidations count="1">
    <dataValidation allowBlank="false" errorStyle="stop" operator="between" showDropDown="false" showErrorMessage="false" showInputMessage="false" sqref="B4" type="list">
      <formula1>"M0,M1,M2,M3,M4,M5"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4334"/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9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473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6" t="s">
        <v>474</v>
      </c>
      <c r="B4" s="6" t="s">
        <v>475</v>
      </c>
      <c r="C4" s="6" t="s">
        <v>476</v>
      </c>
      <c r="D4" s="6" t="s">
        <v>477</v>
      </c>
      <c r="E4" s="6" t="s">
        <v>478</v>
      </c>
      <c r="F4" s="6" t="s">
        <v>108</v>
      </c>
    </row>
    <row r="5" customFormat="false" ht="15" hidden="false" customHeight="false" outlineLevel="0" collapsed="false">
      <c r="A5" s="8" t="s">
        <v>479</v>
      </c>
      <c r="B5" s="46" t="s">
        <v>480</v>
      </c>
      <c r="C5" s="10" t="s">
        <v>480</v>
      </c>
      <c r="D5" s="47" t="s">
        <v>52</v>
      </c>
      <c r="E5" s="9" t="s">
        <v>481</v>
      </c>
      <c r="F5" s="10" t="s">
        <v>482</v>
      </c>
    </row>
    <row r="6" customFormat="false" ht="15" hidden="false" customHeight="false" outlineLevel="0" collapsed="false">
      <c r="A6" s="13" t="s">
        <v>79</v>
      </c>
      <c r="B6" s="48" t="s">
        <v>483</v>
      </c>
      <c r="C6" s="15" t="s">
        <v>480</v>
      </c>
      <c r="D6" s="49" t="s">
        <v>484</v>
      </c>
      <c r="E6" s="14" t="s">
        <v>485</v>
      </c>
      <c r="F6" s="15" t="s">
        <v>482</v>
      </c>
    </row>
    <row r="7" customFormat="false" ht="15" hidden="false" customHeight="false" outlineLevel="0" collapsed="false">
      <c r="A7" s="8" t="s">
        <v>486</v>
      </c>
      <c r="B7" s="50" t="s">
        <v>483</v>
      </c>
      <c r="C7" s="10" t="s">
        <v>480</v>
      </c>
      <c r="D7" s="47" t="s">
        <v>68</v>
      </c>
      <c r="E7" s="9" t="s">
        <v>487</v>
      </c>
      <c r="F7" s="10" t="s">
        <v>482</v>
      </c>
    </row>
    <row r="8" customFormat="false" ht="23.85" hidden="false" customHeight="false" outlineLevel="0" collapsed="false">
      <c r="A8" s="13" t="s">
        <v>488</v>
      </c>
      <c r="B8" s="48" t="s">
        <v>483</v>
      </c>
      <c r="C8" s="15" t="s">
        <v>483</v>
      </c>
      <c r="D8" s="49" t="s">
        <v>489</v>
      </c>
      <c r="E8" s="14" t="s">
        <v>490</v>
      </c>
      <c r="F8" s="15" t="s">
        <v>482</v>
      </c>
    </row>
    <row r="9" customFormat="false" ht="23.85" hidden="false" customHeight="false" outlineLevel="0" collapsed="false">
      <c r="A9" s="8" t="s">
        <v>491</v>
      </c>
      <c r="B9" s="50" t="s">
        <v>483</v>
      </c>
      <c r="C9" s="10" t="s">
        <v>483</v>
      </c>
      <c r="D9" s="47" t="s">
        <v>492</v>
      </c>
      <c r="E9" s="9" t="s">
        <v>493</v>
      </c>
      <c r="F9" s="10" t="s">
        <v>482</v>
      </c>
    </row>
    <row r="10" customFormat="false" ht="23.85" hidden="false" customHeight="false" outlineLevel="0" collapsed="false">
      <c r="A10" s="13" t="s">
        <v>494</v>
      </c>
      <c r="B10" s="51" t="s">
        <v>480</v>
      </c>
      <c r="C10" s="15" t="s">
        <v>480</v>
      </c>
      <c r="D10" s="49" t="s">
        <v>495</v>
      </c>
      <c r="E10" s="14" t="s">
        <v>496</v>
      </c>
      <c r="F10" s="15" t="s">
        <v>482</v>
      </c>
    </row>
    <row r="11" customFormat="false" ht="23.85" hidden="false" customHeight="false" outlineLevel="0" collapsed="false">
      <c r="A11" s="8" t="s">
        <v>497</v>
      </c>
      <c r="B11" s="46" t="s">
        <v>480</v>
      </c>
      <c r="C11" s="10" t="s">
        <v>480</v>
      </c>
      <c r="D11" s="47" t="s">
        <v>81</v>
      </c>
      <c r="E11" s="9" t="s">
        <v>498</v>
      </c>
      <c r="F11" s="10" t="s">
        <v>482</v>
      </c>
    </row>
    <row r="12" customFormat="false" ht="23.85" hidden="false" customHeight="false" outlineLevel="0" collapsed="false">
      <c r="A12" s="13" t="s">
        <v>499</v>
      </c>
      <c r="B12" s="51" t="s">
        <v>480</v>
      </c>
      <c r="C12" s="15" t="s">
        <v>500</v>
      </c>
      <c r="D12" s="49" t="s">
        <v>501</v>
      </c>
      <c r="E12" s="14" t="s">
        <v>502</v>
      </c>
      <c r="F12" s="15" t="s">
        <v>482</v>
      </c>
    </row>
    <row r="13" customFormat="false" ht="15" hidden="false" customHeight="false" outlineLevel="0" collapsed="false">
      <c r="A13" s="8" t="s">
        <v>503</v>
      </c>
      <c r="B13" s="46" t="s">
        <v>480</v>
      </c>
      <c r="C13" s="10" t="s">
        <v>480</v>
      </c>
      <c r="D13" s="47" t="s">
        <v>504</v>
      </c>
      <c r="E13" s="9" t="s">
        <v>505</v>
      </c>
      <c r="F13" s="10" t="s">
        <v>482</v>
      </c>
    </row>
    <row r="14" customFormat="false" ht="23.85" hidden="false" customHeight="false" outlineLevel="0" collapsed="false">
      <c r="A14" s="13" t="s">
        <v>506</v>
      </c>
      <c r="B14" s="48" t="s">
        <v>483</v>
      </c>
      <c r="C14" s="15" t="s">
        <v>480</v>
      </c>
      <c r="D14" s="49" t="s">
        <v>507</v>
      </c>
      <c r="E14" s="14" t="s">
        <v>508</v>
      </c>
      <c r="F14" s="15" t="s">
        <v>482</v>
      </c>
    </row>
  </sheetData>
  <mergeCells count="2">
    <mergeCell ref="A1:F1"/>
    <mergeCell ref="A2:F2"/>
  </mergeCells>
  <conditionalFormatting sqref="F5:F14">
    <cfRule type="cellIs" priority="2" operator="equal" aboveAverage="0" equalAverage="0" bottom="0" percent="0" rank="0" text="" dxfId="15">
      <formula>"Retired"</formula>
    </cfRule>
    <cfRule type="cellIs" priority="3" operator="equal" aboveAverage="0" equalAverage="0" bottom="0" percent="0" rank="0" text="" dxfId="14">
      <formula>"Mitigating"</formula>
    </cfRule>
  </conditionalFormatting>
  <dataValidations count="1">
    <dataValidation allowBlank="true" errorStyle="stop" operator="between" showDropDown="false" showErrorMessage="false" showInputMessage="false" sqref="F5:F14" type="list">
      <formula1>"Open,Mitigating,Retired"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7A94"/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509</v>
      </c>
      <c r="B1" s="1"/>
      <c r="C1" s="1"/>
      <c r="D1" s="1"/>
      <c r="E1" s="1"/>
    </row>
    <row r="2" customFormat="false" ht="18" hidden="false" customHeight="true" outlineLevel="0" collapsed="false">
      <c r="A2" s="2" t="s">
        <v>510</v>
      </c>
      <c r="B2" s="2"/>
      <c r="C2" s="2"/>
      <c r="D2" s="2"/>
      <c r="E2" s="2"/>
    </row>
    <row r="4" customFormat="false" ht="30" hidden="false" customHeight="true" outlineLevel="0" collapsed="false">
      <c r="A4" s="6" t="s">
        <v>511</v>
      </c>
      <c r="B4" s="6" t="s">
        <v>512</v>
      </c>
      <c r="C4" s="6" t="s">
        <v>513</v>
      </c>
      <c r="D4" s="6" t="s">
        <v>514</v>
      </c>
      <c r="E4" s="6" t="s">
        <v>515</v>
      </c>
    </row>
    <row r="5" customFormat="false" ht="15" hidden="false" customHeight="false" outlineLevel="0" collapsed="false">
      <c r="A5" s="52" t="s">
        <v>516</v>
      </c>
      <c r="B5" s="9" t="s">
        <v>517</v>
      </c>
      <c r="C5" s="10" t="s">
        <v>518</v>
      </c>
      <c r="D5" s="9" t="s">
        <v>519</v>
      </c>
      <c r="E5" s="9" t="s">
        <v>482</v>
      </c>
    </row>
    <row r="6" customFormat="false" ht="15" hidden="false" customHeight="false" outlineLevel="0" collapsed="false">
      <c r="A6" s="53" t="s">
        <v>520</v>
      </c>
      <c r="B6" s="14" t="s">
        <v>521</v>
      </c>
      <c r="C6" s="15" t="s">
        <v>52</v>
      </c>
      <c r="D6" s="14" t="s">
        <v>522</v>
      </c>
      <c r="E6" s="14" t="s">
        <v>482</v>
      </c>
    </row>
    <row r="7" customFormat="false" ht="15" hidden="false" customHeight="false" outlineLevel="0" collapsed="false">
      <c r="A7" s="54" t="s">
        <v>523</v>
      </c>
      <c r="B7" s="9" t="s">
        <v>524</v>
      </c>
      <c r="C7" s="10" t="s">
        <v>60</v>
      </c>
      <c r="D7" s="9" t="s">
        <v>525</v>
      </c>
      <c r="E7" s="9" t="s">
        <v>482</v>
      </c>
    </row>
    <row r="8" customFormat="false" ht="15" hidden="false" customHeight="false" outlineLevel="0" collapsed="false">
      <c r="A8" s="53" t="s">
        <v>526</v>
      </c>
      <c r="B8" s="14" t="s">
        <v>527</v>
      </c>
      <c r="C8" s="15" t="s">
        <v>81</v>
      </c>
      <c r="D8" s="14" t="s">
        <v>528</v>
      </c>
      <c r="E8" s="14" t="s">
        <v>482</v>
      </c>
    </row>
    <row r="9" customFormat="false" ht="15" hidden="false" customHeight="false" outlineLevel="0" collapsed="false">
      <c r="A9" s="54" t="s">
        <v>529</v>
      </c>
      <c r="B9" s="9" t="s">
        <v>530</v>
      </c>
      <c r="C9" s="10" t="s">
        <v>87</v>
      </c>
      <c r="D9" s="9" t="s">
        <v>531</v>
      </c>
      <c r="E9" s="9" t="s">
        <v>482</v>
      </c>
    </row>
    <row r="10" customFormat="false" ht="23.85" hidden="false" customHeight="false" outlineLevel="0" collapsed="false">
      <c r="A10" s="53" t="s">
        <v>532</v>
      </c>
      <c r="B10" s="14" t="s">
        <v>533</v>
      </c>
      <c r="C10" s="15" t="s">
        <v>81</v>
      </c>
      <c r="D10" s="14" t="s">
        <v>534</v>
      </c>
      <c r="E10" s="14" t="s">
        <v>482</v>
      </c>
    </row>
    <row r="11" customFormat="false" ht="15" hidden="false" customHeight="false" outlineLevel="0" collapsed="false">
      <c r="A11" s="54" t="s">
        <v>535</v>
      </c>
      <c r="B11" s="9" t="s">
        <v>536</v>
      </c>
      <c r="C11" s="10" t="s">
        <v>537</v>
      </c>
      <c r="D11" s="9" t="s">
        <v>538</v>
      </c>
      <c r="E11" s="9" t="s">
        <v>482</v>
      </c>
    </row>
    <row r="12" customFormat="false" ht="23.85" hidden="false" customHeight="false" outlineLevel="0" collapsed="false">
      <c r="A12" s="53" t="s">
        <v>539</v>
      </c>
      <c r="B12" s="14" t="s">
        <v>540</v>
      </c>
      <c r="C12" s="15" t="s">
        <v>541</v>
      </c>
      <c r="D12" s="14" t="s">
        <v>542</v>
      </c>
      <c r="E12" s="14" t="s">
        <v>482</v>
      </c>
    </row>
  </sheetData>
  <mergeCells count="2">
    <mergeCell ref="A1:E1"/>
    <mergeCell ref="A2:E2"/>
  </mergeCells>
  <conditionalFormatting sqref="E5:E12">
    <cfRule type="cellIs" priority="2" operator="equal" aboveAverage="0" equalAverage="0" bottom="0" percent="0" rank="0" text="" dxfId="15">
      <formula>"Decided"</formula>
    </cfRule>
    <cfRule type="cellIs" priority="3" operator="equal" aboveAverage="0" equalAverage="0" bottom="0" percent="0" rank="0" text="" dxfId="14">
      <formula>"Deciding"</formula>
    </cfRule>
  </conditionalFormatting>
  <dataValidations count="1">
    <dataValidation allowBlank="true" errorStyle="stop" operator="between" showDropDown="false" showErrorMessage="false" showInputMessage="false" sqref="E5:E12" type="list">
      <formula1>"Open,Deciding,Decided"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8981"/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543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544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6" t="s">
        <v>545</v>
      </c>
      <c r="B4" s="6" t="s">
        <v>546</v>
      </c>
      <c r="C4" s="6" t="s">
        <v>547</v>
      </c>
      <c r="D4" s="6" t="s">
        <v>114</v>
      </c>
      <c r="E4" s="6" t="s">
        <v>548</v>
      </c>
      <c r="F4" s="6" t="s">
        <v>549</v>
      </c>
    </row>
    <row r="5" customFormat="false" ht="23.85" hidden="false" customHeight="false" outlineLevel="0" collapsed="false">
      <c r="A5" s="8" t="s">
        <v>550</v>
      </c>
      <c r="B5" s="9" t="s">
        <v>551</v>
      </c>
      <c r="C5" s="9" t="s">
        <v>552</v>
      </c>
      <c r="D5" s="55" t="s">
        <v>553</v>
      </c>
      <c r="E5" s="9" t="s">
        <v>554</v>
      </c>
      <c r="F5" s="9" t="s">
        <v>57</v>
      </c>
    </row>
    <row r="6" customFormat="false" ht="23.85" hidden="false" customHeight="false" outlineLevel="0" collapsed="false">
      <c r="A6" s="13" t="s">
        <v>555</v>
      </c>
      <c r="B6" s="14" t="s">
        <v>556</v>
      </c>
      <c r="C6" s="14" t="s">
        <v>557</v>
      </c>
      <c r="D6" s="56" t="s">
        <v>553</v>
      </c>
      <c r="E6" s="14" t="s">
        <v>558</v>
      </c>
      <c r="F6" s="14" t="s">
        <v>559</v>
      </c>
    </row>
    <row r="7" customFormat="false" ht="23.85" hidden="false" customHeight="false" outlineLevel="0" collapsed="false">
      <c r="A7" s="8" t="s">
        <v>560</v>
      </c>
      <c r="B7" s="9" t="s">
        <v>556</v>
      </c>
      <c r="C7" s="9" t="s">
        <v>561</v>
      </c>
      <c r="D7" s="55" t="s">
        <v>553</v>
      </c>
      <c r="E7" s="9" t="s">
        <v>562</v>
      </c>
      <c r="F7" s="9" t="s">
        <v>559</v>
      </c>
    </row>
    <row r="8" customFormat="false" ht="23.85" hidden="false" customHeight="false" outlineLevel="0" collapsed="false">
      <c r="A8" s="13" t="s">
        <v>563</v>
      </c>
      <c r="B8" s="14" t="s">
        <v>556</v>
      </c>
      <c r="C8" s="14" t="s">
        <v>564</v>
      </c>
      <c r="D8" s="56" t="s">
        <v>553</v>
      </c>
      <c r="E8" s="14" t="s">
        <v>565</v>
      </c>
      <c r="F8" s="14" t="s">
        <v>559</v>
      </c>
    </row>
    <row r="9" customFormat="false" ht="23.85" hidden="false" customHeight="false" outlineLevel="0" collapsed="false">
      <c r="A9" s="8" t="s">
        <v>566</v>
      </c>
      <c r="B9" s="9" t="s">
        <v>556</v>
      </c>
      <c r="C9" s="9" t="s">
        <v>567</v>
      </c>
      <c r="D9" s="55" t="s">
        <v>553</v>
      </c>
      <c r="E9" s="9" t="s">
        <v>568</v>
      </c>
      <c r="F9" s="9" t="s">
        <v>57</v>
      </c>
    </row>
    <row r="10" customFormat="false" ht="23.85" hidden="false" customHeight="false" outlineLevel="0" collapsed="false">
      <c r="A10" s="13" t="s">
        <v>569</v>
      </c>
      <c r="B10" s="14" t="s">
        <v>556</v>
      </c>
      <c r="C10" s="14" t="s">
        <v>570</v>
      </c>
      <c r="D10" s="56" t="s">
        <v>553</v>
      </c>
      <c r="E10" s="14" t="s">
        <v>571</v>
      </c>
      <c r="F10" s="14" t="s">
        <v>57</v>
      </c>
    </row>
    <row r="11" customFormat="false" ht="23.85" hidden="false" customHeight="false" outlineLevel="0" collapsed="false">
      <c r="A11" s="8" t="s">
        <v>572</v>
      </c>
      <c r="B11" s="9" t="s">
        <v>573</v>
      </c>
      <c r="C11" s="9" t="s">
        <v>116</v>
      </c>
      <c r="D11" s="55" t="s">
        <v>553</v>
      </c>
      <c r="E11" s="9" t="s">
        <v>574</v>
      </c>
      <c r="F11" s="9" t="s">
        <v>57</v>
      </c>
    </row>
    <row r="12" customFormat="false" ht="23.85" hidden="false" customHeight="false" outlineLevel="0" collapsed="false">
      <c r="A12" s="13" t="s">
        <v>575</v>
      </c>
      <c r="B12" s="14"/>
      <c r="C12" s="14"/>
      <c r="D12" s="57" t="s">
        <v>576</v>
      </c>
      <c r="E12" s="14"/>
      <c r="F12" s="14" t="s">
        <v>577</v>
      </c>
    </row>
    <row r="13" customFormat="false" ht="15" hidden="false" customHeight="false" outlineLevel="0" collapsed="false">
      <c r="A13" s="58"/>
      <c r="B13" s="58"/>
      <c r="C13" s="58"/>
      <c r="D13" s="58"/>
      <c r="E13" s="58"/>
      <c r="F13" s="58"/>
    </row>
    <row r="14" customFormat="false" ht="15" hidden="false" customHeight="false" outlineLevel="0" collapsed="false">
      <c r="A14" s="59"/>
      <c r="B14" s="59"/>
      <c r="C14" s="59"/>
      <c r="D14" s="59"/>
      <c r="E14" s="59"/>
      <c r="F14" s="59"/>
    </row>
    <row r="15" customFormat="false" ht="15" hidden="false" customHeight="false" outlineLevel="0" collapsed="false">
      <c r="A15" s="58"/>
      <c r="B15" s="58"/>
      <c r="C15" s="58"/>
      <c r="D15" s="58"/>
      <c r="E15" s="58"/>
      <c r="F15" s="58"/>
    </row>
    <row r="16" customFormat="false" ht="15" hidden="false" customHeight="false" outlineLevel="0" collapsed="false">
      <c r="A16" s="59"/>
      <c r="B16" s="59"/>
      <c r="C16" s="59"/>
      <c r="D16" s="59"/>
      <c r="E16" s="59"/>
      <c r="F16" s="59"/>
    </row>
    <row r="17" customFormat="false" ht="15" hidden="false" customHeight="false" outlineLevel="0" collapsed="false">
      <c r="A17" s="58"/>
      <c r="B17" s="58"/>
      <c r="C17" s="58"/>
      <c r="D17" s="58"/>
      <c r="E17" s="58"/>
      <c r="F17" s="58"/>
    </row>
    <row r="18" customFormat="false" ht="15" hidden="false" customHeight="false" outlineLevel="0" collapsed="false">
      <c r="A18" s="59"/>
      <c r="B18" s="59"/>
      <c r="C18" s="59"/>
      <c r="D18" s="59"/>
      <c r="E18" s="59"/>
      <c r="F18" s="59"/>
    </row>
    <row r="19" customFormat="false" ht="15" hidden="false" customHeight="false" outlineLevel="0" collapsed="false">
      <c r="A19" s="58"/>
      <c r="B19" s="58"/>
      <c r="C19" s="58"/>
      <c r="D19" s="58"/>
      <c r="E19" s="58"/>
      <c r="F19" s="58"/>
    </row>
    <row r="20" customFormat="false" ht="15" hidden="false" customHeight="false" outlineLevel="0" collapsed="false">
      <c r="A20" s="59"/>
      <c r="B20" s="59"/>
      <c r="C20" s="59"/>
      <c r="D20" s="59"/>
      <c r="E20" s="59"/>
      <c r="F20" s="59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D5:D20" type="list">
      <formula1>"Parked,Scheduled,Won't-now (frozen),Killed"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FB3A1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26"/>
  </cols>
  <sheetData>
    <row r="1" customFormat="false" ht="30" hidden="false" customHeight="true" outlineLevel="0" collapsed="false">
      <c r="A1" s="1" t="s">
        <v>15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578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6" t="s">
        <v>579</v>
      </c>
      <c r="B4" s="6" t="s">
        <v>580</v>
      </c>
      <c r="C4" s="6" t="s">
        <v>44</v>
      </c>
      <c r="D4" s="6" t="s">
        <v>581</v>
      </c>
      <c r="E4" s="6" t="s">
        <v>582</v>
      </c>
      <c r="F4" s="6" t="s">
        <v>583</v>
      </c>
      <c r="G4" s="6" t="s">
        <v>114</v>
      </c>
    </row>
    <row r="5" customFormat="false" ht="15" hidden="false" customHeight="false" outlineLevel="0" collapsed="false">
      <c r="A5" s="9"/>
      <c r="B5" s="8" t="s">
        <v>65</v>
      </c>
      <c r="C5" s="10" t="s">
        <v>60</v>
      </c>
      <c r="D5" s="9"/>
      <c r="E5" s="9"/>
      <c r="F5" s="9"/>
      <c r="G5" s="9"/>
    </row>
    <row r="6" customFormat="false" ht="15" hidden="false" customHeight="false" outlineLevel="0" collapsed="false">
      <c r="A6" s="14"/>
      <c r="B6" s="17" t="s">
        <v>584</v>
      </c>
      <c r="C6" s="15" t="s">
        <v>73</v>
      </c>
      <c r="D6" s="14"/>
      <c r="E6" s="14"/>
      <c r="F6" s="14"/>
      <c r="G6" s="14"/>
    </row>
    <row r="7" customFormat="false" ht="23.85" hidden="false" customHeight="false" outlineLevel="0" collapsed="false">
      <c r="A7" s="9"/>
      <c r="B7" s="8" t="s">
        <v>585</v>
      </c>
      <c r="C7" s="10" t="s">
        <v>87</v>
      </c>
      <c r="D7" s="9"/>
      <c r="E7" s="9"/>
      <c r="F7" s="9"/>
      <c r="G7" s="9"/>
    </row>
    <row r="8" customFormat="false" ht="15" hidden="false" customHeight="false" outlineLevel="0" collapsed="false">
      <c r="A8" s="59"/>
      <c r="B8" s="59"/>
      <c r="C8" s="59"/>
      <c r="D8" s="59"/>
      <c r="E8" s="59"/>
      <c r="F8" s="59"/>
      <c r="G8" s="59"/>
    </row>
    <row r="9" customFormat="false" ht="15" hidden="false" customHeight="false" outlineLevel="0" collapsed="false">
      <c r="A9" s="58"/>
      <c r="B9" s="58"/>
      <c r="C9" s="58"/>
      <c r="D9" s="58"/>
      <c r="E9" s="58"/>
      <c r="F9" s="58"/>
      <c r="G9" s="58"/>
    </row>
    <row r="10" customFormat="false" ht="15" hidden="false" customHeight="false" outlineLevel="0" collapsed="false">
      <c r="A10" s="59"/>
      <c r="B10" s="59"/>
      <c r="C10" s="59"/>
      <c r="D10" s="59"/>
      <c r="E10" s="59"/>
      <c r="F10" s="59"/>
      <c r="G10" s="59"/>
    </row>
    <row r="11" customFormat="false" ht="15" hidden="false" customHeight="false" outlineLevel="0" collapsed="false">
      <c r="A11" s="58"/>
      <c r="B11" s="58"/>
      <c r="C11" s="58"/>
      <c r="D11" s="58"/>
      <c r="E11" s="58"/>
      <c r="F11" s="58"/>
      <c r="G11" s="58"/>
    </row>
    <row r="12" customFormat="false" ht="15" hidden="false" customHeight="false" outlineLevel="0" collapsed="false">
      <c r="A12" s="59"/>
      <c r="B12" s="59"/>
      <c r="C12" s="59"/>
      <c r="D12" s="59"/>
      <c r="E12" s="59"/>
      <c r="F12" s="59"/>
      <c r="G12" s="59"/>
    </row>
    <row r="13" customFormat="false" ht="15" hidden="false" customHeight="false" outlineLevel="0" collapsed="false">
      <c r="A13" s="58"/>
      <c r="B13" s="58"/>
      <c r="C13" s="58"/>
      <c r="D13" s="58"/>
      <c r="E13" s="58"/>
      <c r="F13" s="58"/>
      <c r="G13" s="58"/>
    </row>
    <row r="14" customFormat="false" ht="15" hidden="false" customHeight="false" outlineLevel="0" collapsed="false">
      <c r="A14" s="59"/>
      <c r="B14" s="59"/>
      <c r="C14" s="59"/>
      <c r="D14" s="59"/>
      <c r="E14" s="59"/>
      <c r="F14" s="59"/>
      <c r="G14" s="59"/>
    </row>
    <row r="15" customFormat="false" ht="15" hidden="false" customHeight="false" outlineLevel="0" collapsed="false">
      <c r="A15" s="58"/>
      <c r="B15" s="58"/>
      <c r="C15" s="58"/>
      <c r="D15" s="58"/>
      <c r="E15" s="58"/>
      <c r="F15" s="58"/>
      <c r="G15" s="58"/>
    </row>
  </sheetData>
  <mergeCells count="2">
    <mergeCell ref="A1:G1"/>
    <mergeCell ref="A2:G2"/>
  </mergeCells>
  <conditionalFormatting sqref="G5:G15">
    <cfRule type="expression" priority="2" aboveAverage="0" equalAverage="0" bottom="0" percent="0" rank="0" text="" dxfId="15">
      <formula>ISNUMBER(SEARCH("PASS",G5))</formula>
    </cfRule>
    <cfRule type="expression" priority="3" aboveAverage="0" equalAverage="0" bottom="0" percent="0" rank="0" text="" dxfId="13">
      <formula>ISNUMBER(SEARCH("FAIL",G5))</formula>
    </cfRule>
  </conditionalFormatting>
  <dataValidations count="2">
    <dataValidation allowBlank="true" errorStyle="stop" operator="between" showDropDown="false" showErrorMessage="false" showInputMessage="false" sqref="F5:F15" type="list">
      <formula1>"Yes,No,Partial"</formula1>
      <formula2>0</formula2>
    </dataValidation>
    <dataValidation allowBlank="true" errorStyle="stop" operator="between" showDropDown="false" showErrorMessage="false" showInputMessage="false" sqref="G5:G15" type="list">
      <formula1>"PASS — proceed,FAIL — re-invest in loop,HOLD"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2026-07-05T09:57:43Z</dcterms:created>
  <dc:creator>openpyxl</dc:creator>
  <dc:description/>
  <dc:language>en-US</dc:language>
  <cp:lastModifiedBy/>
  <dcterms:modified xsi:type="dcterms:W3CDTF">2026-07-05T09:57:43Z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